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ASUS\Desktop\New folder (2)\"/>
    </mc:Choice>
  </mc:AlternateContent>
  <xr:revisionPtr revIDLastSave="0" documentId="13_ncr:1_{D317AF0F-BA5B-4433-9EDD-8FD06510CC1D}" xr6:coauthVersionLast="47" xr6:coauthVersionMax="47" xr10:uidLastSave="{00000000-0000-0000-0000-000000000000}"/>
  <bookViews>
    <workbookView xWindow="-108" yWindow="-108" windowWidth="23256" windowHeight="12576" firstSheet="1" activeTab="4" xr2:uid="{648F9637-988B-45C4-B0F2-48723D0B5381}"/>
  </bookViews>
  <sheets>
    <sheet name="New folder (2)"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'New folder (2)'!$A$1:$F$4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586" r:id="rId7"/>
    <pivotCache cacheId="588" r:id="rId8"/>
    <pivotCache cacheId="590" r:id="rId9"/>
    <pivotCache cacheId="592" r:id="rId10"/>
    <pivotCache cacheId="594" r:id="rId11"/>
    <pivotCache cacheId="596" r:id="rId12"/>
    <pivotCache cacheId="599" r:id="rId13"/>
  </pivotCaches>
  <extLst>
    <ext xmlns:x14="http://schemas.microsoft.com/office/spreadsheetml/2009/9/main" uri="{876F7934-8845-4945-9796-88D515C7AA90}">
      <x14:pivotCaches>
        <pivotCache cacheId="225"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9"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 folder  2_523d3920-3092-43e5-a9d6-4961eced98cd" name="New folder  2" connection="Query - New folder (2)"/>
          <x15:modelTable id="Customers_168e087c-3453-4328-b4ff-a06c5981b98c" name="Customers" connection="Query - Customers"/>
          <x15:modelTable id="Orders_5599f1df-fa5f-4ad4-9715-d1243e995ed9" name="Orders" connection="Query - Orders"/>
          <x15:modelTable id="Products_ecf0bb18-4be9-4797-b15a-b1735a1ac80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3DDC08-C57F-4C9B-A057-C5ADB903D610}" keepAlive="1" name="ModelConnection_ExternalData_1" description="Data Model" type="5" refreshedVersion="8" minRefreshableVersion="5" saveData="1">
    <dbPr connection="Data Model Connection" command="New folder  2" commandType="3"/>
    <extLst>
      <ext xmlns:x15="http://schemas.microsoft.com/office/spreadsheetml/2010/11/main" uri="{DE250136-89BD-433C-8126-D09CA5730AF9}">
        <x15:connection id="" model="1"/>
      </ext>
    </extLst>
  </connection>
  <connection id="2" xr16:uid="{4D087328-B200-499B-974A-340F9497034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CDAC60A-0D24-4B30-B89E-A7DC4D64DCA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0D354DA-2091-4640-8D69-9054E770379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2513358E-5FCD-4649-B11B-9356F2DCFEDA}" name="Query - Customers" description="Connection to the 'Customers' query in the workbook." type="100" refreshedVersion="8" minRefreshableVersion="5">
    <extLst>
      <ext xmlns:x15="http://schemas.microsoft.com/office/spreadsheetml/2010/11/main" uri="{DE250136-89BD-433C-8126-D09CA5730AF9}">
        <x15:connection id="84fc85b2-78c1-4024-a8ae-0c222d7aa4ec"/>
      </ext>
    </extLst>
  </connection>
  <connection id="6" xr16:uid="{B1AD704D-A567-4B69-B20A-1BA2DE016AB0}" name="Query - New folder (2)" description="Connection to the 'New folder (2)' query in the workbook." type="100" refreshedVersion="8" minRefreshableVersion="5">
    <extLst>
      <ext xmlns:x15="http://schemas.microsoft.com/office/spreadsheetml/2010/11/main" uri="{DE250136-89BD-433C-8126-D09CA5730AF9}">
        <x15:connection id="9f616baf-f9d7-4a0e-bcf5-5c5259aeef14"/>
      </ext>
    </extLst>
  </connection>
  <connection id="7" xr16:uid="{4A15ACED-03C6-47C8-A958-B17EB4DED1EF}" name="Query - Orders" description="Connection to the 'Orders' query in the workbook." type="100" refreshedVersion="8" minRefreshableVersion="5">
    <extLst>
      <ext xmlns:x15="http://schemas.microsoft.com/office/spreadsheetml/2010/11/main" uri="{DE250136-89BD-433C-8126-D09CA5730AF9}">
        <x15:connection id="2454e975-e63f-4b13-b464-685e40639e86"/>
      </ext>
    </extLst>
  </connection>
  <connection id="8" xr16:uid="{DA93CC8A-49D2-4103-8007-9115D6FFAB98}" name="Query - Products" description="Connection to the 'Products' query in the workbook." type="100" refreshedVersion="8" minRefreshableVersion="5">
    <extLst>
      <ext xmlns:x15="http://schemas.microsoft.com/office/spreadsheetml/2010/11/main" uri="{DE250136-89BD-433C-8126-D09CA5730AF9}">
        <x15:connection id="37b3fe51-06a2-4a67-88fe-f7f8148c3bc4"/>
      </ext>
    </extLst>
  </connection>
  <connection id="9" xr16:uid="{B886D598-3210-4E87-B895-104D26A2BD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<sst xmlns="http://schemas.openxmlformats.org/spreadsheetml/2006/main" count="6018" uniqueCount="948">
  <si>
    <t>Name</t>
  </si>
  <si>
    <t>Extension</t>
  </si>
  <si>
    <t>Date accessed</t>
  </si>
  <si>
    <t>Date modified</t>
  </si>
  <si>
    <t>Date created</t>
  </si>
  <si>
    <t>Folder Path</t>
  </si>
  <si>
    <t>customers.csv</t>
  </si>
  <si>
    <t>.csv</t>
  </si>
  <si>
    <t>C:\Users\ASUS\Desktop\New folder (2)\</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</si>
  <si>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</si>
  <si>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</si>
  <si>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</si>
  <si>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</si>
  <si>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</si>
  <si>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</si>
  <si>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</si>
  <si>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</si>
  <si>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</si>
  <si>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</si>
  <si>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</si>
  <si>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</si>
  <si>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</si>
  <si>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</si>
  <si>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</si>
  <si>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</si>
  <si>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</si>
  <si>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</si>
  <si>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</si>
  <si>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</si>
  <si>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</si>
  <si>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</si>
  <si>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</si>
  <si>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</si>
  <si>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</si>
  <si>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</si>
  <si>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</si>
  <si>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</si>
  <si>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</si>
  <si>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</si>
  <si>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</si>
  <si>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</si>
  <si>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</si>
  <si>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</si>
  <si>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</si>
  <si>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</si>
  <si>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</si>
  <si>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</si>
  <si>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</si>
  <si>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</si>
  <si>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</si>
  <si>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</si>
  <si>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</si>
  <si>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</si>
  <si>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</si>
  <si>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</si>
  <si>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</si>
  <si>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</si>
  <si>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</si>
  <si>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</si>
  <si>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</si>
  <si>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</si>
  <si>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</si>
  <si>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</si>
  <si>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</si>
  <si>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</si>
  <si>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</si>
  <si>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</si>
  <si>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</si>
  <si>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</si>
  <si>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</si>
  <si>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</si>
  <si>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</si>
  <si>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</si>
  <si>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</si>
  <si>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</si>
  <si>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</si>
  <si>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</si>
  <si>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</si>
  <si>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</si>
  <si>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</si>
  <si>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</si>
  <si>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</si>
  <si>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</si>
  <si>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</si>
  <si>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</si>
  <si>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</si>
  <si>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</si>
  <si>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</si>
  <si>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</si>
  <si>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</si>
  <si>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</si>
  <si>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</si>
  <si>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</si>
  <si>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</si>
  <si>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</si>
  <si>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</si>
  <si>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</si>
  <si>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</si>
  <si>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</si>
  <si>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</si>
  <si>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</si>
  <si>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</si>
  <si>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</si>
  <si>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</si>
  <si>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</si>
  <si>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</si>
  <si>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</si>
  <si>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</si>
  <si>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</si>
  <si>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</si>
  <si>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</si>
  <si>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</si>
  <si>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</si>
  <si>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</si>
  <si>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</si>
  <si>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</si>
  <si>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</si>
  <si>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</si>
  <si>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</si>
  <si>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</si>
  <si>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</si>
  <si>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</si>
  <si>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</si>
  <si>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</si>
  <si>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</si>
  <si>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</si>
  <si>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</si>
  <si>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</si>
  <si>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</si>
  <si>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</si>
  <si>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</si>
  <si>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</si>
  <si>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</si>
  <si>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</si>
  <si>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</si>
  <si>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</si>
  <si>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</si>
  <si>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</si>
  <si>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</si>
  <si>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</si>
  <si>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</si>
  <si>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</si>
  <si>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</si>
  <si>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</si>
  <si>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</si>
  <si>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</si>
  <si>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</si>
  <si>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</si>
  <si>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</si>
  <si>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</si>
  <si>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</si>
  <si>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</si>
  <si>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</si>
  <si>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</si>
  <si>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</si>
  <si>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</si>
  <si>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</si>
  <si>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</si>
  <si>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</si>
  <si>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</si>
  <si>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</si>
  <si>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</si>
  <si>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</si>
  <si>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</si>
  <si>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</si>
  <si>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</si>
  <si>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</si>
  <si>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</si>
  <si>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</si>
  <si>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</si>
  <si>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</si>
  <si>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</si>
  <si>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</si>
  <si>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</si>
  <si>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</si>
  <si>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</si>
  <si>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</si>
  <si>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</si>
  <si>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</si>
  <si>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</si>
  <si>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</si>
  <si>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</si>
  <si>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</si>
  <si>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</si>
  <si>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</si>
  <si>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</si>
  <si>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</si>
  <si>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</si>
  <si>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</si>
  <si>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</si>
  <si>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</si>
  <si>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</si>
  <si>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</si>
  <si>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</si>
  <si>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</si>
  <si>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</si>
  <si>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</si>
  <si>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</si>
  <si>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</si>
  <si>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</si>
  <si>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</si>
  <si>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</si>
  <si>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</si>
  <si>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</si>
  <si>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</si>
  <si>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</si>
  <si>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</si>
  <si>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</si>
  <si>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</si>
  <si>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</si>
  <si>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</si>
  <si>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</si>
  <si>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</si>
  <si>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</si>
  <si>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</si>
  <si>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</si>
  <si>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</si>
  <si>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</si>
  <si>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</si>
  <si>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</si>
  <si>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</si>
  <si>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</si>
  <si>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</si>
  <si>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</si>
  <si>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</si>
  <si>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</si>
  <si>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</si>
  <si>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</si>
  <si>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</si>
  <si>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</si>
  <si>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</si>
  <si>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</si>
  <si>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</si>
  <si>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</si>
  <si>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</si>
  <si>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</si>
  <si>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</si>
  <si>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</si>
  <si>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</si>
  <si>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</si>
  <si>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</si>
  <si>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</si>
  <si>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</si>
  <si>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</si>
  <si>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</si>
  <si>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</si>
  <si>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</si>
  <si>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</si>
  <si>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</si>
  <si>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</si>
  <si>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</si>
  <si>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</si>
  <si>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</si>
  <si>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</si>
  <si>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</si>
  <si>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</si>
  <si>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</si>
  <si>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</si>
  <si>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</si>
  <si>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</si>
  <si>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</si>
  <si>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</si>
  <si>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</si>
  <si>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</si>
  <si>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</si>
  <si>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</si>
  <si>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</si>
  <si>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</si>
  <si>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</si>
  <si>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</si>
  <si>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</si>
  <si>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</si>
  <si>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</si>
  <si>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</si>
  <si>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</si>
  <si>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</si>
  <si>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</si>
  <si>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</si>
  <si>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</si>
  <si>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</si>
  <si>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</si>
  <si>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</si>
  <si>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</si>
  <si>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</si>
  <si>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</si>
  <si>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</si>
  <si>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</si>
  <si>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</si>
  <si>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</si>
  <si>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</si>
  <si>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</si>
  <si>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</si>
  <si>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</si>
  <si>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</si>
  <si>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</si>
  <si>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</si>
  <si>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</si>
  <si>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</si>
  <si>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</si>
  <si>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</si>
  <si>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</si>
  <si>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</si>
  <si>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</si>
  <si>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</si>
  <si>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</si>
  <si>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</si>
  <si>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</si>
  <si>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</si>
  <si>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</si>
  <si>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</si>
  <si>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</si>
  <si>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</si>
  <si>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</si>
  <si>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</si>
  <si>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</si>
  <si>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</si>
  <si>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</si>
  <si>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</si>
  <si>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</si>
  <si>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</si>
  <si>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</si>
  <si>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</si>
  <si>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</si>
  <si>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</si>
  <si>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</si>
  <si>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</si>
  <si>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</si>
  <si>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</si>
  <si>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</si>
  <si>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</si>
  <si>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</si>
  <si>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</si>
  <si>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</si>
  <si>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</si>
  <si>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</si>
  <si>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</si>
  <si>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</si>
  <si>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</si>
  <si>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</si>
  <si>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</si>
  <si>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</si>
  <si>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</si>
  <si>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</si>
  <si>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</si>
  <si>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</si>
  <si>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</si>
  <si>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</si>
  <si>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</si>
  <si>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</si>
  <si>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</si>
  <si>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</si>
  <si>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</si>
  <si>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</si>
  <si>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</si>
  <si>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</si>
  <si>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</si>
  <si>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</si>
  <si>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</si>
  <si>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</si>
  <si>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</si>
  <si>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</si>
  <si>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</si>
  <si>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</si>
  <si>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</si>
  <si>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</si>
  <si>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</si>
  <si>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</si>
  <si>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</si>
  <si>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</si>
  <si>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</si>
  <si>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</si>
  <si>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</si>
  <si>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</si>
  <si>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</si>
  <si>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</si>
  <si>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</si>
  <si>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</si>
  <si>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</si>
  <si>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</si>
  <si>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</si>
  <si>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</si>
  <si>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</si>
  <si>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</si>
  <si>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</si>
  <si>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</si>
  <si>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</si>
  <si>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</si>
  <si>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</si>
  <si>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</si>
  <si>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</si>
  <si>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</si>
  <si>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</si>
  <si>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</si>
  <si>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</si>
  <si>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</si>
  <si>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</si>
  <si>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</si>
  <si>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</si>
  <si>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</si>
  <si>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</si>
  <si>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</si>
  <si>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</si>
  <si>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</si>
  <si>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</si>
  <si>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</si>
  <si>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</si>
  <si>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</si>
  <si>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</si>
  <si>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</si>
  <si>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</si>
  <si>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</si>
  <si>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</si>
  <si>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</si>
  <si>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</si>
  <si>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</si>
  <si>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</si>
  <si>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</si>
  <si>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</si>
  <si>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</si>
  <si>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</si>
  <si>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</si>
  <si>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</si>
  <si>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</si>
  <si>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</si>
  <si>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</si>
  <si>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</si>
  <si>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</si>
  <si>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</si>
  <si>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</si>
  <si>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</si>
  <si>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</si>
  <si>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</si>
  <si>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</si>
  <si>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</si>
  <si>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</si>
  <si>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</si>
  <si>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</si>
  <si>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</si>
  <si>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</si>
  <si>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</si>
  <si>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</si>
  <si>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</si>
  <si>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</si>
  <si>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</si>
  <si>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</si>
  <si>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</si>
  <si>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</si>
  <si>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</si>
  <si>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</si>
  <si>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</si>
  <si>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</si>
  <si>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</si>
  <si>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</si>
  <si>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</si>
  <si>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</si>
  <si>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</si>
  <si>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</si>
  <si>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</si>
  <si>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</si>
  <si>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</si>
  <si>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</si>
  <si>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</si>
  <si>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</si>
  <si>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</si>
  <si>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</si>
  <si>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</si>
  <si>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</si>
  <si>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</si>
  <si>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</si>
  <si>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</si>
  <si>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</si>
  <si>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</si>
  <si>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</si>
  <si>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</si>
  <si>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</si>
  <si>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</si>
  <si>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</si>
  <si>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</si>
  <si>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</si>
  <si>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</si>
  <si>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</si>
  <si>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</si>
  <si>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</si>
  <si>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</si>
  <si>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</si>
  <si>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</si>
  <si>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</si>
  <si>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</si>
  <si>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</si>
  <si>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</si>
  <si>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</si>
  <si>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</si>
  <si>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</si>
  <si>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</si>
  <si>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</si>
  <si>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</si>
  <si>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</si>
  <si>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</si>
  <si>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</si>
  <si>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</si>
  <si>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</si>
  <si>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</si>
  <si>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</si>
  <si>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</si>
  <si>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</si>
  <si>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</si>
  <si>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</si>
  <si>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</si>
  <si>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</si>
  <si>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</si>
  <si>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</si>
  <si>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</si>
  <si>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</si>
  <si>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</si>
  <si>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</si>
  <si>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</si>
  <si>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</si>
  <si>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</si>
  <si>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</si>
  <si>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</si>
  <si>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</si>
  <si>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</si>
  <si>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</si>
  <si>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</si>
  <si>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</si>
  <si>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</si>
  <si>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</si>
  <si>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</si>
  <si>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</si>
  <si>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</si>
  <si>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</si>
  <si>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</si>
  <si>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</si>
  <si>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</si>
  <si>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</si>
  <si>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</si>
  <si>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</si>
  <si>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</si>
  <si>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</si>
  <si>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</si>
  <si>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</si>
  <si>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</si>
  <si>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</si>
  <si>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</si>
  <si>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</si>
  <si>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</si>
  <si>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</si>
  <si>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</si>
  <si>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</si>
  <si>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</si>
  <si>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</si>
  <si>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</si>
  <si>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</si>
  <si>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</si>
  <si>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</si>
  <si>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</si>
  <si>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</si>
  <si>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</si>
  <si>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</si>
  <si>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</si>
  <si>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</si>
  <si>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</si>
  <si>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</si>
  <si>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</si>
  <si>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</si>
  <si>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</si>
  <si>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</si>
  <si>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</si>
  <si>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</si>
  <si>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</si>
  <si>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</si>
  <si>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</si>
  <si>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</si>
  <si>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</si>
  <si>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</si>
  <si>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</si>
  <si>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</si>
  <si>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</si>
  <si>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</si>
  <si>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</si>
  <si>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</si>
  <si>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</si>
  <si>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</si>
  <si>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</si>
  <si>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</si>
  <si>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</si>
  <si>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</si>
  <si>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</si>
  <si>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</si>
  <si>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</si>
  <si>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</si>
  <si>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</si>
  <si>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</si>
  <si>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</si>
  <si>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</si>
  <si>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</si>
  <si>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</si>
  <si>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</si>
  <si>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</si>
  <si>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</si>
  <si>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</si>
  <si>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</si>
  <si>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</si>
  <si>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</si>
  <si>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</si>
  <si>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</si>
  <si>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</si>
  <si>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</si>
  <si>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</si>
  <si>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</si>
  <si>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</si>
  <si>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</si>
  <si>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</si>
  <si>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</si>
  <si>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</si>
  <si>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</si>
  <si>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</si>
  <si>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</si>
  <si>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</si>
  <si>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</si>
  <si>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</si>
  <si>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</si>
  <si>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</si>
  <si>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</si>
  <si>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</si>
  <si>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</si>
  <si>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</si>
  <si>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</si>
  <si>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</si>
  <si>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</si>
  <si>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</si>
  <si>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</si>
  <si>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</si>
  <si>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</si>
  <si>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</si>
  <si>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</si>
  <si>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</si>
  <si>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</si>
  <si>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</si>
  <si>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</si>
  <si>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</si>
  <si>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</si>
  <si>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</si>
  <si>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</si>
  <si>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</si>
  <si>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</si>
  <si>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</si>
  <si>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</si>
  <si>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</si>
  <si>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</si>
  <si>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</si>
  <si>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</si>
  <si>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</si>
  <si>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</si>
  <si>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</si>
  <si>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</si>
  <si>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</si>
  <si>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</si>
  <si>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</si>
  <si>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</si>
  <si>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</si>
  <si>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</si>
  <si>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</si>
  <si>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</si>
  <si>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</si>
  <si>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</si>
  <si>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</si>
  <si>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</si>
  <si>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</si>
  <si>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</si>
  <si>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</si>
  <si>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</si>
  <si>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</si>
  <si>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</si>
  <si>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</si>
  <si>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</si>
  <si>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</si>
  <si>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</si>
  <si>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</si>
  <si>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</si>
  <si>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</si>
  <si>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</si>
  <si>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</si>
  <si>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</si>
  <si>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</si>
  <si>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</si>
  <si>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</si>
  <si>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</si>
  <si>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</si>
  <si>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</si>
  <si>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</si>
  <si>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</si>
  <si>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</si>
  <si>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</si>
  <si>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</si>
  <si>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</si>
  <si>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</si>
  <si>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</si>
  <si>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</si>
  <si>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</si>
  <si>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</si>
  <si>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</si>
  <si>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</si>
  <si>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</si>
  <si>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</si>
  <si>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</si>
  <si>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</si>
  <si>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</si>
  <si>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</si>
  <si>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</si>
  <si>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</si>
  <si>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</si>
  <si>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</si>
  <si>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</si>
  <si>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</si>
  <si>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</si>
  <si>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</si>
  <si>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</si>
  <si>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</si>
  <si>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</si>
  <si>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</si>
  <si>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</si>
  <si>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</si>
  <si>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</si>
  <si>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</si>
  <si>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</si>
  <si>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</si>
  <si>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</si>
  <si>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</si>
  <si>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</si>
  <si>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</si>
  <si>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</si>
  <si>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</si>
  <si>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</si>
  <si>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</si>
  <si>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</si>
  <si>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</si>
  <si>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</si>
  <si>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</si>
  <si>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</si>
  <si>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</si>
  <si>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</si>
  <si>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</si>
  <si>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</si>
  <si>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</si>
  <si>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</si>
  <si>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</si>
  <si>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</si>
  <si>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</si>
  <si>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</si>
  <si>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</si>
  <si>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</si>
  <si>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</si>
  <si>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</si>
  <si>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</si>
  <si>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</si>
  <si>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</si>
  <si>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</si>
  <si>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</si>
  <si>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</si>
  <si>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</si>
  <si>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</si>
  <si>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</si>
  <si>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</si>
  <si>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</si>
  <si>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</si>
  <si>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</si>
  <si>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</si>
  <si>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</si>
  <si>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</si>
  <si>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</si>
  <si>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</si>
  <si>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</si>
  <si>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</si>
  <si>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</si>
  <si>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</si>
  <si>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</si>
  <si>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</si>
  <si>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</si>
  <si>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</si>
  <si>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</si>
  <si>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</si>
  <si>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</si>
  <si>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</si>
  <si>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</si>
  <si>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</si>
  <si>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</si>
  <si>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</si>
  <si>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</si>
  <si>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</si>
  <si>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</si>
  <si>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</si>
  <si>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</si>
  <si>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</si>
  <si>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</si>
  <si>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</si>
  <si>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</si>
  <si>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</si>
  <si>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</si>
  <si>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</si>
  <si>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</si>
  <si>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</si>
  <si>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</si>
  <si>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</si>
  <si>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</si>
  <si>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</si>
  <si>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</si>
  <si>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</si>
  <si>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</si>
  <si>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</si>
  <si>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</si>
  <si>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</si>
  <si>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</si>
  <si>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</si>
  <si>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</si>
  <si>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</si>
  <si>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</si>
  <si>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</si>
  <si>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</si>
  <si>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</si>
  <si>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</si>
  <si>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</si>
  <si>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</si>
  <si>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</si>
  <si>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</si>
  <si>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</si>
  <si>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</si>
  <si>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</si>
  <si>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</si>
  <si>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</si>
  <si>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</si>
  <si>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</si>
  <si>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</si>
  <si>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</si>
  <si>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</si>
  <si>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</si>
  <si>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</si>
  <si>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</si>
  <si>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</si>
  <si>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</si>
  <si>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</si>
  <si>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</si>
  <si>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</si>
  <si>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</si>
  <si>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</si>
  <si>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</si>
  <si>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</si>
  <si>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</si>
  <si>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</si>
  <si>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</si>
  <si>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</si>
  <si>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</si>
  <si>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</si>
  <si>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</si>
  <si>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</si>
  <si>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</si>
  <si>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</si>
  <si>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</si>
  <si>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</si>
  <si>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</si>
  <si>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</si>
  <si>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</si>
  <si>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</si>
  <si>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</si>
  <si>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</si>
  <si>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</si>
  <si>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</si>
  <si>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</si>
  <si>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</si>
  <si>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</si>
  <si>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</si>
  <si>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</si>
  <si>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</si>
  <si>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</si>
  <si>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</si>
  <si>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</si>
  <si>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</si>
  <si>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</si>
  <si>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</si>
  <si>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</si>
  <si>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</si>
  <si>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</si>
  <si>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</si>
  <si>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</si>
  <si>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</si>
  <si>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</si>
  <si>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</si>
  <si>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</si>
  <si>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</si>
  <si>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</si>
  <si>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</si>
  <si>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</si>
  <si>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</si>
  <si>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</si>
  <si>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</si>
  <si>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</si>
  <si>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</si>
  <si>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</si>
  <si>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</si>
  <si>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</si>
  <si>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</si>
  <si>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</si>
  <si>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</si>
  <si>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</si>
  <si>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</si>
  <si>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</si>
  <si>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</si>
  <si>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</si>
  <si>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</si>
  <si>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</si>
  <si>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</si>
  <si>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</si>
  <si>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</si>
  <si>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</si>
  <si>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</si>
  <si>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</si>
  <si>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</si>
  <si>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</si>
  <si>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</si>
  <si>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</si>
  <si>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</si>
  <si>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</si>
  <si>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</si>
  <si>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</si>
  <si>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</si>
  <si>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</si>
  <si>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</si>
  <si>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</si>
  <si>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</si>
  <si>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</si>
  <si>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</si>
  <si>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</si>
  <si>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</si>
  <si>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</si>
  <si>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</si>
  <si>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 date)</t>
  </si>
  <si>
    <t>Saturday</t>
  </si>
  <si>
    <t>Wednesday</t>
  </si>
  <si>
    <t>Friday</t>
  </si>
  <si>
    <t>Sunday</t>
  </si>
  <si>
    <t>Monday</t>
  </si>
  <si>
    <t>Tuesday</t>
  </si>
  <si>
    <t>Thursday</t>
  </si>
  <si>
    <t>Sum of Revenue</t>
  </si>
  <si>
    <t>Average of diff_order_delivery</t>
  </si>
  <si>
    <t>Average of custumer spending</t>
  </si>
  <si>
    <t>Count of Order_ID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</si>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</sst>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3" x14ac:knownFonts="1">
    <font>
      <sz val="11"/>
      <color theme="1"/>
      <name val="Calibri"/>
      <family val="2"/>
      <scheme val="minor"/>
    </font>
    <font>
      <sz val="11"/>
      <color rgb="FFFF0000"/>
      <name val="Calibri"/>
      <family val="2"/>
      <scheme val="minor"/>
    </font>
    <font>
      <sz val="8"/>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1" fillId="2" borderId="0" xfId="0" applyFont="1" applyFill="1"/>
  </cellXfs>
  <cellStyles count="1">
    <cellStyle name="Normal" xfId="0" builtinId="0"/>
  </cellStyles>
  <dxfs count="24">
    <dxf>
      <numFmt numFmtId="164" formatCode="[$-F400]h:mm:ss\ AM/PM"/>
    </dxf>
    <dxf>
      <numFmt numFmtId="19" formatCode="m/d/yyyy"/>
    </dxf>
    <dxf>
      <numFmt numFmtId="164" formatCode="[$-F400]h:mm:ss\ AM/PM"/>
    </dxf>
    <dxf>
      <numFmt numFmtId="19" formatCode="m/d/yyyy"/>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Sheet1!$H$19</c:f>
              <c:strCache>
                <c:ptCount val="1"/>
                <c:pt idx="0">
                  <c:v>Total</c:v>
                </c:pt>
              </c:strCache>
            </c:strRef>
          </c:tx>
          <c:spPr>
            <a:solidFill>
              <a:schemeClr val="accent1"/>
            </a:solidFill>
            <a:ln>
              <a:noFill/>
            </a:ln>
            <a:effectLst/>
          </c:spPr>
          <c:invertIfNegative val="0"/>
          <c:cat>
            <c:strRef>
              <c:f>Sheet1!$G$20:$G$27</c:f>
              <c:strCache>
                <c:ptCount val="7"/>
                <c:pt idx="0">
                  <c:v>All Occasions</c:v>
                </c:pt>
                <c:pt idx="1">
                  <c:v>Anniversary</c:v>
                </c:pt>
                <c:pt idx="2">
                  <c:v>Birthday</c:v>
                </c:pt>
                <c:pt idx="3">
                  <c:v>Diwali</c:v>
                </c:pt>
                <c:pt idx="4">
                  <c:v>Holi</c:v>
                </c:pt>
                <c:pt idx="5">
                  <c:v>Raksha Bandhan</c:v>
                </c:pt>
                <c:pt idx="6">
                  <c:v>Valentine's Day</c:v>
                </c:pt>
              </c:strCache>
            </c:strRef>
          </c:cat>
          <c:val>
            <c:numRef>
              <c:f>Sheet1!$H$20:$H$27</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5B0C-4725-85AE-FF76FE6B302E}"/>
            </c:ext>
          </c:extLst>
        </c:ser>
        <c:dLbls>
          <c:showLegendKey val="0"/>
          <c:showVal val="0"/>
          <c:showCatName val="0"/>
          <c:showSerName val="0"/>
          <c:showPercent val="0"/>
          <c:showBubbleSize val="0"/>
        </c:dLbls>
        <c:gapWidth val="219"/>
        <c:overlap val="-27"/>
        <c:axId val="371438719"/>
        <c:axId val="371437759"/>
      </c:barChart>
      <c:catAx>
        <c:axId val="37143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437759"/>
        <c:crosses val="autoZero"/>
        <c:auto val="1"/>
        <c:lblAlgn val="ctr"/>
        <c:lblOffset val="100"/>
        <c:noMultiLvlLbl val="0"/>
      </c:catAx>
      <c:valAx>
        <c:axId val="37143775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43871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[DA.xlsx]Sheet1!PivotTable5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Sheet1!$A$20:$A$27</c:f>
              <c:strCache>
                <c:ptCount val="7"/>
                <c:pt idx="0">
                  <c:v>Cake</c:v>
                </c:pt>
                <c:pt idx="1">
                  <c:v>Colors</c:v>
                </c:pt>
                <c:pt idx="2">
                  <c:v>Mugs</c:v>
                </c:pt>
                <c:pt idx="3">
                  <c:v>Plants</c:v>
                </c:pt>
                <c:pt idx="4">
                  <c:v>Raksha Bandhan</c:v>
                </c:pt>
                <c:pt idx="5">
                  <c:v>Soft Toys</c:v>
                </c:pt>
                <c:pt idx="6">
                  <c:v>Sweets</c:v>
                </c:pt>
              </c:strCache>
            </c:strRef>
          </c:cat>
          <c:val>
            <c:numRef>
              <c:f>Sheet1!$B$20:$B$27</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A41-4F1F-979C-7F45611662BF}"/>
            </c:ext>
          </c:extLst>
        </c:ser>
        <c:dLbls>
          <c:showLegendKey val="0"/>
          <c:showVal val="0"/>
          <c:showCatName val="0"/>
          <c:showSerName val="0"/>
          <c:showPercent val="0"/>
          <c:showBubbleSize val="0"/>
        </c:dLbls>
        <c:gapWidth val="219"/>
        <c:overlap val="-27"/>
        <c:axId val="371438719"/>
        <c:axId val="371437759"/>
      </c:barChart>
      <c:catAx>
        <c:axId val="37143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437759"/>
        <c:crosses val="autoZero"/>
        <c:auto val="1"/>
        <c:lblAlgn val="ctr"/>
        <c:lblOffset val="100"/>
        <c:noMultiLvlLbl val="0"/>
      </c:catAx>
      <c:valAx>
        <c:axId val="37143775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43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[DA.xlsx]Sheet1!PivotTable2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D7C-4E08-AD8E-9D112196ECD7}"/>
            </c:ext>
          </c:extLst>
        </c:ser>
        <c:dLbls>
          <c:showLegendKey val="0"/>
          <c:showVal val="0"/>
          <c:showCatName val="0"/>
          <c:showSerName val="0"/>
          <c:showPercent val="0"/>
          <c:showBubbleSize val="0"/>
        </c:dLbls>
        <c:smooth val="0"/>
        <c:axId val="368377087"/>
        <c:axId val="368378527"/>
      </c:lineChart>
      <c:catAx>
        <c:axId val="36837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78527"/>
        <c:crosses val="autoZero"/>
        <c:auto val="1"/>
        <c:lblAlgn val="ctr"/>
        <c:lblOffset val="100"/>
        <c:noMultiLvlLbl val="0"/>
      </c:catAx>
      <c:valAx>
        <c:axId val="36837852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7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Deserunt Box</c:v>
                </c:pt>
                <c:pt idx="1">
                  <c:v>Dolores Gift</c:v>
                </c:pt>
                <c:pt idx="2">
                  <c:v>Harum Pack</c:v>
                </c:pt>
                <c:pt idx="3">
                  <c:v>Magnam Set</c:v>
                </c:pt>
                <c:pt idx="4">
                  <c:v>Quia Gift</c:v>
                </c:pt>
              </c:strCache>
            </c:strRef>
          </c:cat>
          <c:val>
            <c:numRef>
              <c:f>Sheet1!$E$6:$E$11</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C58E-41D2-9D1D-EA53A21D04A0}"/>
            </c:ext>
          </c:extLst>
        </c:ser>
        <c:dLbls>
          <c:showLegendKey val="0"/>
          <c:showVal val="0"/>
          <c:showCatName val="0"/>
          <c:showSerName val="0"/>
          <c:showPercent val="0"/>
          <c:showBubbleSize val="0"/>
        </c:dLbls>
        <c:gapWidth val="219"/>
        <c:overlap val="-27"/>
        <c:axId val="1390077215"/>
        <c:axId val="1390079135"/>
      </c:barChart>
      <c:catAx>
        <c:axId val="139007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079135"/>
        <c:crosses val="autoZero"/>
        <c:auto val="1"/>
        <c:lblAlgn val="ctr"/>
        <c:lblOffset val="100"/>
        <c:noMultiLvlLbl val="0"/>
      </c:catAx>
      <c:valAx>
        <c:axId val="139007913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07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Sheet1!$E$19</c:f>
              <c:strCache>
                <c:ptCount val="1"/>
                <c:pt idx="0">
                  <c:v>Total</c:v>
                </c:pt>
              </c:strCache>
            </c:strRef>
          </c:tx>
          <c:spPr>
            <a:solidFill>
              <a:schemeClr val="accent1"/>
            </a:solidFill>
            <a:ln>
              <a:noFill/>
            </a:ln>
            <a:effectLst/>
          </c:spPr>
          <c:invertIfNegative val="0"/>
          <c:cat>
            <c:strRef>
              <c:f>Sheet1!$D$20:$D$30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Sheet1!$E$20:$E$30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2F8-4D07-A2D6-698EA2AB9F9A}"/>
            </c:ext>
          </c:extLst>
        </c:ser>
        <c:dLbls>
          <c:showLegendKey val="0"/>
          <c:showVal val="0"/>
          <c:showCatName val="0"/>
          <c:showSerName val="0"/>
          <c:showPercent val="0"/>
          <c:showBubbleSize val="0"/>
        </c:dLbls>
        <c:gapWidth val="219"/>
        <c:overlap val="-27"/>
        <c:axId val="368260639"/>
        <c:axId val="368261119"/>
      </c:barChart>
      <c:catAx>
        <c:axId val="36826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261119"/>
        <c:crosses val="autoZero"/>
        <c:auto val="1"/>
        <c:lblAlgn val="ctr"/>
        <c:lblOffset val="100"/>
        <c:noMultiLvlLbl val="0"/>
      </c:catAx>
      <c:valAx>
        <c:axId val="36826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26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[DA.xlsx]Sheet1!PivotTable9</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(Order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Sheet1!$B$32</c:f>
              <c:strCache>
                <c:ptCount val="1"/>
                <c:pt idx="0">
                  <c:v>Total</c:v>
                </c:pt>
              </c:strCache>
            </c:strRef>
          </c:tx>
          <c:spPr>
            <a:ln w="28575" cap="rnd">
              <a:solidFill>
                <a:schemeClr val="accent1"/>
              </a:solidFill>
              <a:round/>
            </a:ln>
            <a:effectLst/>
          </c:spPr>
          <c:marker>
            <c:symbol val="none"/>
          </c:marker>
          <c:cat>
            <c:strRef>
              <c:f>Sheet1!$A$33:$A$57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Sheet1!$B$33:$B$57</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B4D-4DC2-8FAF-CA7DEF0DAB69}"/>
            </c:ext>
          </c:extLst>
        </c:ser>
        <c:dLbls>
          <c:showLegendKey val="0"/>
          <c:showVal val="0"/>
          <c:showCatName val="0"/>
          <c:showSerName val="0"/>
          <c:showPercent val="0"/>
          <c:showBubbleSize val="0"/>
        </c:dLbls>
        <c:smooth val="0"/>
        <c:axId val="1315868463"/>
        <c:axId val="1315869903"/>
      </c:lineChart>
      <c:catAx>
        <c:axId val="131586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869903"/>
        <c:crosses val="autoZero"/>
        <c:auto val="1"/>
        <c:lblAlgn val="ctr"/>
        <c:lblOffset val="100"/>
        <c:tickLblSkip val="2"/>
        <c:tickMarkSkip val="2"/>
        <c:noMultiLvlLbl val="0"/>
      </c:catAx>
      <c:valAx>
        <c:axId val="131586990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86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182880</xdr:colOff>
      <xdr:row>3</xdr:row>
      <xdr:rowOff>160020</xdr:rowOff>
    </xdr:from>
    <xdr:to>
      <xdr:col>9</xdr:col>
      <xdr:colOff>137160</xdr:colOff>
      <xdr:row>17</xdr:row>
      <xdr:rowOff>66675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963D5312-7415-0BF9-25FD-96AD19E433C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122920" y="708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265586</xdr:colOff>
      <xdr:row>6</xdr:row>
      <xdr:rowOff>2340</xdr:rowOff>
    </xdr:from>
    <xdr:to>
      <xdr:col>7</xdr:col>
      <xdr:colOff>9769</xdr:colOff>
      <xdr:row>21</xdr:row>
      <xdr:rowOff>2341</xdr:rowOff>
    </xdr:to>
    <xdr:graphicFrame macro="">
      <xdr:nvGraphicFramePr>
        <xdr:cNvPr id="2" name="Chart 1">
          <a:extLst>
            <a:ext uri="{FF2B5EF4-FFF2-40B4-BE49-F238E27FC236}">
              <a16:creationId xmlns:a16="http://schemas.microsoft.com/office/drawing/2014/main" id="{BAD1A4A5-1834-40CE-967B-B24D95A75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136769</xdr:colOff>
      <xdr:row>6</xdr:row>
      <xdr:rowOff>2340</xdr:rowOff>
    </xdr:from>
    <xdr:to>
      <xdr:col>14</xdr:col>
      <xdr:colOff>136769</xdr:colOff>
      <xdr:row>21</xdr:row>
      <xdr:rowOff>2341</xdr:rowOff>
    </xdr:to>
    <xdr:graphicFrame macro="">
      <xdr:nvGraphicFramePr>
        <xdr:cNvPr id="3" name="Chart 2">
          <a:extLst>
            <a:ext uri="{FF2B5EF4-FFF2-40B4-BE49-F238E27FC236}">
              <a16:creationId xmlns:a16="http://schemas.microsoft.com/office/drawing/2014/main" id="{791DC13A-6B3E-4EC9-BAA3-8B1EC35D3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266564</xdr:colOff>
      <xdr:row>21</xdr:row>
      <xdr:rowOff>184215</xdr:rowOff>
    </xdr:from>
    <xdr:to>
      <xdr:col>7</xdr:col>
      <xdr:colOff>0</xdr:colOff>
      <xdr:row>36</xdr:row>
      <xdr:rowOff>184215</xdr:rowOff>
    </xdr:to>
    <xdr:graphicFrame macro="">
      <xdr:nvGraphicFramePr>
        <xdr:cNvPr id="4" name="Chart 3">
          <a:extLst>
            <a:ext uri="{FF2B5EF4-FFF2-40B4-BE49-F238E27FC236}">
              <a16:creationId xmlns:a16="http://schemas.microsoft.com/office/drawing/2014/main" id="{C866CAE7-7592-40ED-BF05-3B0139D28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139564</xdr:colOff>
      <xdr:row>21</xdr:row>
      <xdr:rowOff>184215</xdr:rowOff>
    </xdr:from>
    <xdr:to>
      <xdr:col>14</xdr:col>
      <xdr:colOff>136769</xdr:colOff>
      <xdr:row>36</xdr:row>
      <xdr:rowOff>184215</xdr:rowOff>
    </xdr:to>
    <xdr:graphicFrame macro="">
      <xdr:nvGraphicFramePr>
        <xdr:cNvPr id="5" name="Chart 4">
          <a:extLst>
            <a:ext uri="{FF2B5EF4-FFF2-40B4-BE49-F238E27FC236}">
              <a16:creationId xmlns:a16="http://schemas.microsoft.com/office/drawing/2014/main" id="{C51B2B35-6B94-44EC-B10C-F2058BD87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256795</xdr:colOff>
      <xdr:row>22</xdr:row>
      <xdr:rowOff>1559</xdr:rowOff>
    </xdr:from>
    <xdr:to>
      <xdr:col>21</xdr:col>
      <xdr:colOff>244231</xdr:colOff>
      <xdr:row>37</xdr:row>
      <xdr:rowOff>1559</xdr:rowOff>
    </xdr:to>
    <xdr:graphicFrame macro="">
      <xdr:nvGraphicFramePr>
        <xdr:cNvPr id="6" name="Chart 5">
          <a:extLst>
            <a:ext uri="{FF2B5EF4-FFF2-40B4-BE49-F238E27FC236}">
              <a16:creationId xmlns:a16="http://schemas.microsoft.com/office/drawing/2014/main" id="{63FA9A23-4DF3-435B-A985-5BEC9564A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263770</xdr:colOff>
      <xdr:row>6</xdr:row>
      <xdr:rowOff>4685</xdr:rowOff>
    </xdr:from>
    <xdr:to>
      <xdr:col>21</xdr:col>
      <xdr:colOff>244231</xdr:colOff>
      <xdr:row>21</xdr:row>
      <xdr:rowOff>4686</xdr:rowOff>
    </xdr:to>
    <xdr:graphicFrame macro="">
      <xdr:nvGraphicFramePr>
        <xdr:cNvPr id="7" name="Chart 6">
          <a:extLst>
            <a:ext uri="{FF2B5EF4-FFF2-40B4-BE49-F238E27FC236}">
              <a16:creationId xmlns:a16="http://schemas.microsoft.com/office/drawing/2014/main" id="{D6B8F8A1-5C85-48E9-B2BB-23EF7445D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390761</xdr:colOff>
      <xdr:row>1</xdr:row>
      <xdr:rowOff>43263</xdr:rowOff>
    </xdr:from>
    <xdr:to>
      <xdr:col>9</xdr:col>
      <xdr:colOff>164674</xdr:colOff>
      <xdr:row>5</xdr:row>
      <xdr:rowOff>18143</xdr:rowOff>
    </xdr:to>
    <xdr:sp macro="" textlink="">
      <xdr:nvSpPr>
        <xdr:cNvPr id="8" name="Rectangle: Rounded Corners 7">
          <a:extLst>
            <a:ext uri="{FF2B5EF4-FFF2-40B4-BE49-F238E27FC236}">
              <a16:creationId xmlns:a16="http://schemas.microsoft.com/office/drawing/2014/main" id="{B028D196-3840-0DDD-D166-DEB01C727EDF}"/>
            </a:ext>
          </a:extLst>
        </xdr:cNvPr>
        <xdr:cNvSpPr/>
      </xdr:nvSpPr>
      <xdr:spPr>
        <a:xfrm>
          <a:off x="3419223" y="228878"/>
          <a:ext cx="2196682" cy="7173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1000</a:t>
          </a:r>
        </a:p>
        <a:p>
          <a:pPr algn="ctr"/>
          <a:r>
            <a:rPr lang="en-US" sz="1600"/>
            <a:t>Total</a:t>
          </a:r>
          <a:r>
            <a:rPr lang="en-US" sz="1600" baseline="0"/>
            <a:t> Orders</a:t>
          </a:r>
          <a:endParaRPr lang="en-US" sz="1600"/>
        </a:p>
      </xdr:txBody>
    </xdr:sp>
    <xdr:clientData/>
  </xdr:twoCellAnchor>
  <xdr:twoCellAnchor>
    <xdr:from>
      <xdr:col>9</xdr:col>
      <xdr:colOff>341917</xdr:colOff>
      <xdr:row>1</xdr:row>
      <xdr:rowOff>33773</xdr:rowOff>
    </xdr:from>
    <xdr:to>
      <xdr:col>13</xdr:col>
      <xdr:colOff>142626</xdr:colOff>
      <xdr:row>5</xdr:row>
      <xdr:rowOff>8653</xdr:rowOff>
    </xdr:to>
    <xdr:sp macro="" textlink="Sheet1!E2">
      <xdr:nvSpPr>
        <xdr:cNvPr id="12" name="Rectangle: Rounded Corners 11">
          <a:extLst>
            <a:ext uri="{FF2B5EF4-FFF2-40B4-BE49-F238E27FC236}">
              <a16:creationId xmlns:a16="http://schemas.microsoft.com/office/drawing/2014/main" id="{9A644496-562D-492C-9E39-6D28407EC3DA}"/>
            </a:ext>
          </a:extLst>
        </xdr:cNvPr>
        <xdr:cNvSpPr/>
      </xdr:nvSpPr>
      <xdr:spPr>
        <a:xfrm>
          <a:off x="5793148" y="219388"/>
          <a:ext cx="2223478" cy="7173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5A3999-430A-444A-8410-6574E0F2FECB}" type="TxLink">
            <a:rPr lang="en-US" sz="1600" b="0" i="0" u="none" strike="noStrike">
              <a:solidFill>
                <a:schemeClr val="bg1"/>
              </a:solidFill>
              <a:latin typeface="Calibri"/>
              <a:cs typeface="Calibri"/>
            </a:rPr>
            <a:pPr algn="ctr"/>
            <a:t>$3,520,984.00</a:t>
          </a:fld>
          <a:endParaRPr lang="en-US" sz="1600" b="0" i="0" u="none" strike="noStrike">
            <a:solidFill>
              <a:schemeClr val="bg1"/>
            </a:solidFill>
            <a:latin typeface="Calibri"/>
            <a:cs typeface="Calibri"/>
          </a:endParaRPr>
        </a:p>
        <a:p>
          <a:pPr algn="ctr"/>
          <a:r>
            <a:rPr lang="en-US" sz="1600" b="0" i="0" u="none" strike="noStrike">
              <a:solidFill>
                <a:schemeClr val="bg1"/>
              </a:solidFill>
              <a:latin typeface="Calibri"/>
              <a:cs typeface="Calibri"/>
            </a:rPr>
            <a:t>Total Revenue</a:t>
          </a:r>
          <a:endParaRPr lang="en-US" sz="1600">
            <a:solidFill>
              <a:schemeClr val="bg1"/>
            </a:solidFill>
          </a:endParaRPr>
        </a:p>
      </xdr:txBody>
    </xdr:sp>
    <xdr:clientData/>
  </xdr:twoCellAnchor>
  <xdr:twoCellAnchor>
    <xdr:from>
      <xdr:col>13</xdr:col>
      <xdr:colOff>332150</xdr:colOff>
      <xdr:row>1</xdr:row>
      <xdr:rowOff>18699</xdr:rowOff>
    </xdr:from>
    <xdr:to>
      <xdr:col>17</xdr:col>
      <xdr:colOff>148491</xdr:colOff>
      <xdr:row>4</xdr:row>
      <xdr:rowOff>179194</xdr:rowOff>
    </xdr:to>
    <xdr:sp macro="" textlink="Sheet1!D2">
      <xdr:nvSpPr>
        <xdr:cNvPr id="13" name="Rectangle: Rounded Corners 12">
          <a:extLst>
            <a:ext uri="{FF2B5EF4-FFF2-40B4-BE49-F238E27FC236}">
              <a16:creationId xmlns:a16="http://schemas.microsoft.com/office/drawing/2014/main" id="{9F2020FA-8C6C-4FFA-81ED-D249CD2D00D8}"/>
            </a:ext>
          </a:extLst>
        </xdr:cNvPr>
        <xdr:cNvSpPr/>
      </xdr:nvSpPr>
      <xdr:spPr>
        <a:xfrm>
          <a:off x="8206150" y="204314"/>
          <a:ext cx="2239110" cy="7173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3988E9-4331-4517-942E-2226BCB93611}" type="TxLink">
            <a:rPr lang="en-US" sz="1600" b="0" i="0" u="none" strike="noStrike">
              <a:solidFill>
                <a:schemeClr val="bg1"/>
              </a:solidFill>
              <a:latin typeface="Calibri"/>
              <a:cs typeface="Calibri"/>
            </a:rPr>
            <a:pPr algn="ctr"/>
            <a:t>5.53</a:t>
          </a:fld>
          <a:endParaRPr lang="en-US" sz="1600" b="0" i="0" u="none" strike="noStrike">
            <a:solidFill>
              <a:schemeClr val="bg1"/>
            </a:solidFill>
            <a:latin typeface="Calibri"/>
            <a:cs typeface="Calibri"/>
          </a:endParaRPr>
        </a:p>
        <a:p>
          <a:pPr algn="ctr"/>
          <a:r>
            <a:rPr lang="en-US" sz="1600" b="0" i="0" u="none" strike="noStrike" baseline="0">
              <a:solidFill>
                <a:schemeClr val="bg1"/>
              </a:solidFill>
              <a:latin typeface="Calibri"/>
              <a:cs typeface="Calibri"/>
            </a:rPr>
            <a:t>Order-Delivery Time</a:t>
          </a:r>
          <a:endParaRPr lang="en-US" sz="1600">
            <a:solidFill>
              <a:schemeClr val="bg1"/>
            </a:solidFill>
          </a:endParaRPr>
        </a:p>
      </xdr:txBody>
    </xdr:sp>
    <xdr:clientData/>
  </xdr:twoCellAnchor>
  <xdr:twoCellAnchor>
    <xdr:from>
      <xdr:col>17</xdr:col>
      <xdr:colOff>307866</xdr:colOff>
      <xdr:row>1</xdr:row>
      <xdr:rowOff>14793</xdr:rowOff>
    </xdr:from>
    <xdr:to>
      <xdr:col>21</xdr:col>
      <xdr:colOff>234457</xdr:colOff>
      <xdr:row>4</xdr:row>
      <xdr:rowOff>173893</xdr:rowOff>
    </xdr:to>
    <xdr:sp macro="" textlink="Sheet1!F2">
      <xdr:nvSpPr>
        <xdr:cNvPr id="14" name="Rectangle: Rounded Corners 13">
          <a:extLst>
            <a:ext uri="{FF2B5EF4-FFF2-40B4-BE49-F238E27FC236}">
              <a16:creationId xmlns:a16="http://schemas.microsoft.com/office/drawing/2014/main" id="{33AB4CDE-B65B-4618-8BD2-97684DD65FE0}"/>
            </a:ext>
          </a:extLst>
        </xdr:cNvPr>
        <xdr:cNvSpPr/>
      </xdr:nvSpPr>
      <xdr:spPr>
        <a:xfrm>
          <a:off x="10604635" y="200408"/>
          <a:ext cx="2349360" cy="7159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9D85DC-267E-44F5-B228-1758B6241D95}" type="TxLink">
            <a:rPr lang="en-US" sz="1600" b="0" i="0" u="none" strike="noStrike">
              <a:solidFill>
                <a:schemeClr val="bg1"/>
              </a:solidFill>
              <a:latin typeface="Calibri"/>
              <a:cs typeface="Calibri"/>
            </a:rPr>
            <a:pPr algn="ctr"/>
            <a:t>$3,520.98</a:t>
          </a:fld>
          <a:endParaRPr lang="en-US" sz="1600" b="0" i="0" u="none" strike="noStrike">
            <a:solidFill>
              <a:schemeClr val="bg1"/>
            </a:solidFill>
            <a:latin typeface="Calibri"/>
            <a:cs typeface="Calibri"/>
          </a:endParaRPr>
        </a:p>
        <a:p>
          <a:pPr algn="ctr"/>
          <a:r>
            <a:rPr lang="en-US" sz="1600" b="0" i="0" u="none" strike="noStrike">
              <a:solidFill>
                <a:schemeClr val="bg1"/>
              </a:solidFill>
              <a:latin typeface="Calibri"/>
              <a:cs typeface="Calibri"/>
            </a:rPr>
            <a:t>Avg</a:t>
          </a:r>
          <a:r>
            <a:rPr lang="en-US" sz="1600" b="0" i="0" u="none" strike="noStrike" baseline="0">
              <a:solidFill>
                <a:schemeClr val="bg1"/>
              </a:solidFill>
              <a:latin typeface="Calibri"/>
              <a:cs typeface="Calibri"/>
            </a:rPr>
            <a:t> Customer's spending</a:t>
          </a:r>
          <a:endParaRPr lang="en-US" sz="1600">
            <a:solidFill>
              <a:schemeClr val="bg1"/>
            </a:solidFill>
          </a:endParaRPr>
        </a:p>
      </xdr:txBody>
    </xdr:sp>
    <xdr:clientData/>
  </xdr:twoCellAnchor>
  <xdr:twoCellAnchor editAs="oneCell">
    <xdr:from>
      <xdr:col>21</xdr:col>
      <xdr:colOff>420078</xdr:colOff>
      <xdr:row>17</xdr:row>
      <xdr:rowOff>182825</xdr:rowOff>
    </xdr:from>
    <xdr:to>
      <xdr:col>25</xdr:col>
      <xdr:colOff>429847</xdr:colOff>
      <xdr:row>37</xdr:row>
      <xdr:rowOff>0</xdr:rowOff>
    </xdr:to>
    <mc:AlternateContent xmlns:mc="http://schemas.openxmlformats.org/markup-compatibility/2006">
      <mc:Choice xmlns:a14="http://schemas.microsoft.com/office/drawing/2010/main" Requires="a14">
        <xdr:graphicFrame macro="">
          <xdr:nvGraphicFramePr>
            <xdr:cNvPr id="15" name="Occasion 1">
              <a:extLst>
                <a:ext uri="{FF2B5EF4-FFF2-40B4-BE49-F238E27FC236}">
                  <a16:creationId xmlns:a16="http://schemas.microsoft.com/office/drawing/2014/main" id="{8CE0FE1C-1331-432F-A8E2-840E2010EB2D}"/>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221678" y="3328796"/>
              <a:ext cx="2448169" cy="3518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387505</xdr:colOff>
      <xdr:row>1</xdr:row>
      <xdr:rowOff>17474</xdr:rowOff>
    </xdr:from>
    <xdr:to>
      <xdr:col>25</xdr:col>
      <xdr:colOff>381001</xdr:colOff>
      <xdr:row>8</xdr:row>
      <xdr:rowOff>99534</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496DFA66-5F3F-7BE9-0A17-CE3C643F677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189105" y="202531"/>
              <a:ext cx="2431896" cy="1377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401516</xdr:colOff>
      <xdr:row>9</xdr:row>
      <xdr:rowOff>135598</xdr:rowOff>
    </xdr:from>
    <xdr:to>
      <xdr:col>25</xdr:col>
      <xdr:colOff>400539</xdr:colOff>
      <xdr:row>17</xdr:row>
      <xdr:rowOff>22274</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13533128-CC2D-37CE-3CAF-953B046C7D0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203116" y="1801112"/>
              <a:ext cx="2437423" cy="13671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250091</xdr:colOff>
      <xdr:row>1</xdr:row>
      <xdr:rowOff>39355</xdr:rowOff>
    </xdr:from>
    <xdr:to>
      <xdr:col>5</xdr:col>
      <xdr:colOff>205153</xdr:colOff>
      <xdr:row>5</xdr:row>
      <xdr:rowOff>14235</xdr:rowOff>
    </xdr:to>
    <xdr:sp macro="" textlink="">
      <xdr:nvSpPr>
        <xdr:cNvPr id="18" name="Rectangle: Rounded Corners 17">
          <a:extLst>
            <a:ext uri="{FF2B5EF4-FFF2-40B4-BE49-F238E27FC236}">
              <a16:creationId xmlns:a16="http://schemas.microsoft.com/office/drawing/2014/main" id="{8BFF3211-D7E9-4ACA-A892-87EF644D81BB}"/>
            </a:ext>
          </a:extLst>
        </xdr:cNvPr>
        <xdr:cNvSpPr/>
      </xdr:nvSpPr>
      <xdr:spPr>
        <a:xfrm>
          <a:off x="250091" y="224970"/>
          <a:ext cx="2983524" cy="7173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t>Sales </a:t>
          </a:r>
          <a:r>
            <a:rPr lang="en-US" sz="2800"/>
            <a:t>Analysis</a:t>
          </a:r>
          <a:endParaRPr lang="en-US" sz="32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0.156441319443" backgroundQuery="1" createdVersion="8" refreshedVersion="8" minRefreshableVersion="3" recordCount="0" supportSubquery="1" supportAdvancedDrill="1" xr:uid="{D895FC21-28A7-4E52-83F7-9EF7074B7002}">
  <cacheSource type="external" connectionId="9"/>
  <cacheFields count="6">
    <cacheField name="[Measures].[Average of diff_order_delivery]" caption="Average of diff_order_delivery" numFmtId="0" hierarchy="41" level="32767"/>
    <cacheField name="[Measures].[Sum of Revenue]" caption="Sum of Revenue" numFmtId="0" hierarchy="39" level="32767"/>
    <cacheField name="[Measures].[Average of Revenue]" caption="Average of Revenue" numFmtId="0" hierarchy="42" level="32767"/>
    <cacheField name="[Measures].[Count of Order_ID]" caption="Count of Order_ID" numFmtId="0" hierarchy="44" level="32767"/>
    <cacheField name="[Measures].[total revenue]" caption="total revenue" numFmtId="0" hierarchy="45" level="32767"/>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oneField="1">
      <fieldsUsage count="1">
        <fieldUsage x="4"/>
      </fieldsUsage>
    </cacheHierarchy>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2" uniqueName="[New folder  2]" caption="New folder  2"/>
    <dimension name="Orders" uniqueName="[Orders]" caption="Orders"/>
    <dimension name="Products" uniqueName="[Products]" caption="Products"/>
  </dimensions>
  <measureGroups count="4">
    <measureGroup name="Customers" caption="Customers"/>
    <measureGroup name="New folder  2" caption="New folder  2"/>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0.156441898151" backgroundQuery="1" createdVersion="8" refreshedVersion="8" minRefreshableVersion="3" recordCount="0" supportSubquery="1" supportAdvancedDrill="1" xr:uid="{694DEF67-67CC-4810-A0DC-72E0005C8884}">
  <cacheSource type="external" connectionId="9"/>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2" uniqueName="[New folder  2]" caption="New folder  2"/>
    <dimension name="Orders" uniqueName="[Orders]" caption="Orders"/>
    <dimension name="Products" uniqueName="[Products]" caption="Products"/>
  </dimensions>
  <measureGroups count="4">
    <measureGroup name="Customers" caption="Customers"/>
    <measureGroup name="New folder  2" caption="New folder  2"/>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0.156442476851" backgroundQuery="1" createdVersion="8" refreshedVersion="8" minRefreshableVersion="3" recordCount="0" supportSubquery="1" supportAdvancedDrill="1" xr:uid="{00A730EF-272B-4AF5-9FD3-AB15EAA25BA7}">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2" uniqueName="[New folder  2]" caption="New folder  2"/>
    <dimension name="Orders" uniqueName="[Orders]" caption="Orders"/>
    <dimension name="Products" uniqueName="[Products]" caption="Products"/>
  </dimensions>
  <measureGroups count="4">
    <measureGroup name="Customers" caption="Customers"/>
    <measureGroup name="New folder  2" caption="New folder  2"/>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0.156443055559" backgroundQuery="1" createdVersion="8" refreshedVersion="8" minRefreshableVersion="3" recordCount="0" supportSubquery="1" supportAdvancedDrill="1" xr:uid="{5B535CE0-4597-4616-B482-4D615A10DD4D}">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4" level="32767"/>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2" uniqueName="[New folder  2]" caption="New folder  2"/>
    <dimension name="Orders" uniqueName="[Orders]" caption="Orders"/>
    <dimension name="Products" uniqueName="[Products]" caption="Products"/>
  </dimensions>
  <measureGroups count="4">
    <measureGroup name="Customers" caption="Customers"/>
    <measureGroup name="New folder  2" caption="New folder  2"/>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0.156443749998" backgroundQuery="1" createdVersion="8" refreshedVersion="8" minRefreshableVersion="3" recordCount="0" supportSubquery="1" supportAdvancedDrill="1" xr:uid="{B7F94D06-E4DB-436D-9F51-7A4691211DFB}">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2" uniqueName="[New folder  2]" caption="New folder  2"/>
    <dimension name="Orders" uniqueName="[Orders]" caption="Orders"/>
    <dimension name="Products" uniqueName="[Products]" caption="Products"/>
  </dimensions>
  <measureGroups count="4">
    <measureGroup name="Customers" caption="Customers"/>
    <measureGroup name="New folder  2" caption="New folder  2"/>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0.156444560183" backgroundQuery="1" createdVersion="8" refreshedVersion="8" minRefreshableVersion="3" recordCount="0" supportSubquery="1" supportAdvancedDrill="1" xr:uid="{07CE379D-BC4A-43B3-AAA1-96501583C935}">
  <cacheSource type="external" connectionId="9"/>
  <cacheFields count="5">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2" uniqueName="[New folder  2]" caption="New folder  2"/>
    <dimension name="Orders" uniqueName="[Orders]" caption="Orders"/>
    <dimension name="Products" uniqueName="[Products]" caption="Products"/>
  </dimensions>
  <measureGroups count="4">
    <measureGroup name="Customers" caption="Customers"/>
    <measureGroup name="New folder  2" caption="New folder  2"/>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0.156445138891" backgroundQuery="1" createdVersion="8" refreshedVersion="8" minRefreshableVersion="3" recordCount="0" supportSubquery="1" supportAdvancedDrill="1" xr:uid="{C4BACF3F-2D74-4D64-A7DA-0EF528D5FE11}">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New folder  2].[Content]" caption="Content" attribute="1" defaultMemberUniqueName="[New folder  2].[Content].[All]" allUniqueName="[New folder  2].[Content].[All]" dimensionUniqueName="[New folder  2]" displayFolder="" count="2" memberValueDatatype="130" unbalanced="0"/>
    <cacheHierarchy uniqueName="[New folder  2].[Name]" caption="Name" attribute="1" defaultMemberUniqueName="[New folder  2].[Name].[All]" allUniqueName="[New folder  2].[Name].[All]" dimensionUniqueName="[New folder  2]" displayFolder="" count="2" memberValueDatatype="130" unbalanced="0"/>
    <cacheHierarchy uniqueName="[New folder  2].[Extension]" caption="Extension" attribute="1" defaultMemberUniqueName="[New folder  2].[Extension].[All]" allUniqueName="[New folder  2].[Extension].[All]" dimensionUniqueName="[New folder  2]" displayFolder="" count="2" memberValueDatatype="130" unbalanced="0"/>
    <cacheHierarchy uniqueName="[New folder  2].[Date accessed]" caption="Date accessed" attribute="1" time="1" defaultMemberUniqueName="[New folder  2].[Date accessed].[All]" allUniqueName="[New folder  2].[Date accessed].[All]" dimensionUniqueName="[New folder  2]" displayFolder="" count="2" memberValueDatatype="7" unbalanced="0"/>
    <cacheHierarchy uniqueName="[New folder  2].[Date modified]" caption="Date modified" attribute="1" time="1" defaultMemberUniqueName="[New folder  2].[Date modified].[All]" allUniqueName="[New folder  2].[Date modified].[All]" dimensionUniqueName="[New folder  2]" displayFolder="" count="2" memberValueDatatype="7" unbalanced="0"/>
    <cacheHierarchy uniqueName="[New folder  2].[Date created]" caption="Date created" attribute="1" time="1" defaultMemberUniqueName="[New folder  2].[Date created].[All]" allUniqueName="[New folder  2].[Date created].[All]" dimensionUniqueName="[New folder  2]" displayFolder="" count="2" memberValueDatatype="7" unbalanced="0"/>
    <cacheHierarchy uniqueName="[New folder  2].[Folder Path]" caption="Folder Path" attribute="1" defaultMemberUniqueName="[New folder  2].[Folder Path].[All]" allUniqueName="[New folder  2].[Folder Path].[All]" dimensionUniqueName="[New folder  2]"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2" uniqueName="[New folder  2]" caption="New folder  2"/>
    <dimension name="Orders" uniqueName="[Orders]" caption="Orders"/>
    <dimension name="Products" uniqueName="[Products]" caption="Products"/>
  </dimensions>
  <measureGroups count="4">
    <measureGroup name="Customers" caption="Customers"/>
    <measureGroup name="New folder  2" caption="New folder  2"/>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0.117458564811" backgroundQuery="1" createdVersion="3" refreshedVersion="8" minRefreshableVersion="3" recordCount="0" supportSubquery="1" supportAdvancedDrill="1" xr:uid="{9EEA321F-47F9-4DD6-85A4-B40D6F209F56}">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0528189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80.124638657406" backgroundQuery="1" createdVersion="3" refreshedVersion="8" minRefreshableVersion="3" recordCount="0" supportSubquery="1" supportAdvancedDrill="1" xr:uid="{2C0E7F4D-FCA9-420B-A5FC-189A1E93A711}">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  2].[Content]" caption="Content" attribute="1" defaultMemberUniqueName="[New folder  2].[Content].[All]" allUniqueName="[New folder  2].[Content].[All]" dimensionUniqueName="[New folder  2]" displayFolder="" count="0" memberValueDatatype="130" unbalanced="0"/>
    <cacheHierarchy uniqueName="[New folder  2].[Name]" caption="Name" attribute="1" defaultMemberUniqueName="[New folder  2].[Name].[All]" allUniqueName="[New folder  2].[Name].[All]" dimensionUniqueName="[New folder  2]" displayFolder="" count="0" memberValueDatatype="130" unbalanced="0"/>
    <cacheHierarchy uniqueName="[New folder  2].[Extension]" caption="Extension" attribute="1" defaultMemberUniqueName="[New folder  2].[Extension].[All]" allUniqueName="[New folder  2].[Extension].[All]" dimensionUniqueName="[New folder  2]" displayFolder="" count="0" memberValueDatatype="130" unbalanced="0"/>
    <cacheHierarchy uniqueName="[New folder  2].[Date accessed]" caption="Date accessed" attribute="1" time="1" defaultMemberUniqueName="[New folder  2].[Date accessed].[All]" allUniqueName="[New folder  2].[Date accessed].[All]" dimensionUniqueName="[New folder  2]" displayFolder="" count="0" memberValueDatatype="7" unbalanced="0"/>
    <cacheHierarchy uniqueName="[New folder  2].[Date modified]" caption="Date modified" attribute="1" time="1" defaultMemberUniqueName="[New folder  2].[Date modified].[All]" allUniqueName="[New folder  2].[Date modified].[All]" dimensionUniqueName="[New folder  2]" displayFolder="" count="0" memberValueDatatype="7" unbalanced="0"/>
    <cacheHierarchy uniqueName="[New folder  2].[Date created]" caption="Date created" attribute="1" time="1" defaultMemberUniqueName="[New folder  2].[Date created].[All]" allUniqueName="[New folder  2].[Date created].[All]" dimensionUniqueName="[New folder  2]" displayFolder="" count="0" memberValueDatatype="7" unbalanced="0"/>
    <cacheHierarchy uniqueName="[New folder  2].[Folder Path]" caption="Folder Path" attribute="1" defaultMemberUniqueName="[New folder  2].[Folder Path].[All]" allUniqueName="[New folder  2].[Folder Path].[All]" dimensionUniqueName="[New folder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2]" caption="__XL_Count New folder  2" measure="1" displayFolder="" measureGroup="New folder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2677150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7BBD57-30DF-48EB-92DC-622DB6BA91A3}" name="PivotTable9" cacheId="596" applyNumberFormats="0" applyBorderFormats="0" applyFontFormats="0" applyPatternFormats="0" applyAlignmentFormats="0" applyWidthHeightFormats="1" dataCaption="Values" tag="348764de-5d45-4ed0-aa5a-c4a7a614ae0d" updatedVersion="8" minRefreshableVersion="5" useAutoFormatting="1" itemPrintTitles="1" createdVersion="8" indent="0" outline="1" outlineData="1" multipleFieldFilters="0" chartFormat="12">
  <location ref="A32:B5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2"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count" id="1" iMeasureHier="39">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4307AF-FE77-48DA-A9ED-53CE377BAC1B}" name="PivotTable8" cacheId="594" applyNumberFormats="0" applyBorderFormats="0" applyFontFormats="0" applyPatternFormats="0" applyAlignmentFormats="0" applyWidthHeightFormats="1" dataCaption="Values" tag="9f8ec904-4701-4b59-ad2d-2c9f94ddec30" updatedVersion="8" minRefreshableVersion="5" useAutoFormatting="1" itemPrintTitles="1" createdVersion="8" indent="0" outline="1" outlineData="1" multipleFieldFilters="0" chartFormat="7">
  <location ref="G19:H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2DE661-C566-437D-A55C-D1642FB147F7}" name="PivotTable7" cacheId="592" applyNumberFormats="0" applyBorderFormats="0" applyFontFormats="0" applyPatternFormats="0" applyAlignmentFormats="0" applyWidthHeightFormats="1" dataCaption="Values" tag="df8c9058-2809-4abc-a68a-4ca5058348c0" updatedVersion="8" minRefreshableVersion="5" useAutoFormatting="1" itemPrintTitles="1" createdVersion="8" indent="0" outline="1" outlineData="1" multipleFieldFilters="0" chartFormat="6">
  <location ref="D19:E3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2"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0"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5C1957-187D-49A6-AA35-E7E2FED049C9}" name="PivotTable5" cacheId="599" applyNumberFormats="0" applyBorderFormats="0" applyFontFormats="0" applyPatternFormats="0" applyAlignmentFormats="0" applyWidthHeightFormats="1" dataCaption="Values" tag="cf071fb0-9f34-45db-bf8f-dee68d812f04" updatedVersion="8" minRefreshableVersion="5" useAutoFormatting="1" subtotalHiddenItems="1" itemPrintTitles="1" createdVersion="8" indent="0" outline="1" outlineData="1" multipleFieldFilters="0" chartFormat="10">
  <location ref="A19:B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6"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0CBBDE-4563-4F73-9C50-22BB945C810E}" name="PivotTable3" cacheId="590" applyNumberFormats="0" applyBorderFormats="0" applyFontFormats="0" applyPatternFormats="0" applyAlignmentFormats="0" applyWidthHeightFormats="1" dataCaption="Values" tag="f682bfec-0def-4cf1-8ed7-4cff2438d7a2" updatedVersion="8" minRefreshableVersion="5" useAutoFormatting="1" itemPrintTitles="1" createdVersion="8" indent="0" outline="1" outlineData="1" multipleFieldFilters="0" chartFormat="7">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count" id="1" iMeasureHier="3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C07FEC-A955-466A-B93C-A6291DD706BB}" name="PivotTable1" cacheId="586" applyNumberFormats="0" applyBorderFormats="0" applyFontFormats="0" applyPatternFormats="0" applyAlignmentFormats="0" applyWidthHeightFormats="1" dataCaption="Values" tag="e80675b4-08da-4d44-9557-84df5d57de20" updatedVersion="8" minRefreshableVersion="5" useAutoFormatting="1" subtotalHiddenItems="1" itemPrintTitles="1" createdVersion="8" indent="0" outline="1" outlineData="1" multipleFieldFilters="0">
  <location ref="D1:H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Average of diff_order_delivery" fld="0" subtotal="average" baseField="0" baseItem="0"/>
    <dataField name="Sum of Revenue" fld="1" baseField="0" baseItem="0"/>
    <dataField name="Average of custumer spending" fld="2" subtotal="average" baseField="0" baseItem="2"/>
    <dataField name="Count of Order_ID" fld="3" subtotal="count" baseField="0" baseItem="2"/>
    <dataField fld="4"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umer spending"/>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dateBetween" evalOrder="-1" id="1"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7AD755-16B1-4B7B-BD07-EF188157979E}" name="PivotTable2" cacheId="588" applyNumberFormats="0" applyBorderFormats="0" applyFontFormats="0" applyPatternFormats="0" applyAlignmentFormats="0" applyWidthHeightFormats="1" dataCaption="Values" tag="6be69e40-7156-4a47-955f-aefc62ab34fe" updatedVersion="8" minRefreshableVersion="5" useAutoFormatting="1" itemPrintTitles="1" createdVersion="8" indent="0" outline="1" outlineData="1" multipleFieldFilters="0" chartFormat="6">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D62DCDF-26B5-48B9-BF67-1468D024272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New folder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52FDA37-A713-4CE6-84F9-35E54070CA9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74A0B47-2BFC-47E4-8954-C27E75195AEC}"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7" name="Day name(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1BB4EDE-9F97-4906-8E59-CBDDB17503D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0DB757B-9E82-424B-A575-7B24C23AC6A7}" sourceName="[Orders].[Occasion]">
  <pivotTables>
    <pivotTable tabId="1" name="PivotTable3"/>
    <pivotTable tabId="1" name="PivotTable9"/>
    <pivotTable tabId="1" name="PivotTable1"/>
    <pivotTable tabId="1" name="PivotTable2"/>
    <pivotTable tabId="1" name="PivotTable5"/>
    <pivotTable tabId="1" name="PivotTable8"/>
  </pivotTables>
  <data>
    <olap pivotCacheId="170528189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53CD7F0-A58A-407E-A949-D1C8B52A792B}"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202ADAE-F442-4CC0-9269-7258B4D3F738}" cache="Slicer_Occasion" caption="Occasion" level="1" rowHeight="420624"/>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8C2E3C-EE71-45A9-9584-001993575989}" name="New_folder__2" displayName="New_folder__2" ref="A1:F4" tableType="queryTable" totalsRowShown="0">
  <autoFilter ref="A1:F4" xr:uid="{F68C2E3C-EE71-45A9-9584-001993575989}"/>
  <tableColumns count="6">
    <tableColumn id="1" xr3:uid="{3F458A32-C1F2-4F64-85E3-9C5C01BBB2EC}" uniqueName="1" name="Name" queryTableFieldId="1" dataDxfId="23"/>
    <tableColumn id="2" xr3:uid="{AF2611B1-4246-47FE-93AC-E247C2B0B758}" uniqueName="2" name="Extension" queryTableFieldId="2" dataDxfId="22"/>
    <tableColumn id="3" xr3:uid="{38AB2A37-1F72-45FC-90F1-14D746C01BE2}" uniqueName="3" name="Date accessed" queryTableFieldId="3" dataDxfId="6"/>
    <tableColumn id="4" xr3:uid="{4D11C31C-EC3F-42A7-9C6A-2DC37A40B9FC}" uniqueName="4" name="Date modified" queryTableFieldId="4" dataDxfId="5"/>
    <tableColumn id="5" xr3:uid="{13E5EEA1-278D-456C-9B03-1006372543C4}" uniqueName="5" name="Date created" queryTableFieldId="5" dataDxfId="4"/>
    <tableColumn id="6" xr3:uid="{C83901DC-5FB6-4834-8CE2-81011F3C99E7}"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344EA2-62D6-49CC-A47B-11050D979174}" name="Customers" displayName="Customers" ref="A1:G101" tableType="queryTable" totalsRowShown="0">
  <autoFilter ref="A1:G101" xr:uid="{E8344EA2-62D6-49CC-A47B-11050D979174}"/>
  <tableColumns count="7">
    <tableColumn id="1" xr3:uid="{CD3242B7-D856-4590-9801-5F61D69FBC5A}" uniqueName="1" name="Customer_ID" queryTableFieldId="1" dataDxfId="20"/>
    <tableColumn id="2" xr3:uid="{751561C1-60A1-47AB-8B08-5B7E6AA22234}" uniqueName="2" name="Name" queryTableFieldId="2" dataDxfId="19"/>
    <tableColumn id="3" xr3:uid="{A666EB0D-A007-4A2D-BCD4-37CD17CCFB19}" uniqueName="3" name="City" queryTableFieldId="3" dataDxfId="18"/>
    <tableColumn id="4" xr3:uid="{0B2FB7E7-F1F5-41B5-9E75-36301E63F39F}" uniqueName="4" name="Contact_Number" queryTableFieldId="4" dataDxfId="17"/>
    <tableColumn id="5" xr3:uid="{9418CD0D-9EB1-4DA6-A552-2CCFF447532C}" uniqueName="5" name="Email" queryTableFieldId="5" dataDxfId="16"/>
    <tableColumn id="6" xr3:uid="{BB3C79FB-4CD1-46B3-9212-A4718043FA0F}" uniqueName="6" name="Gender" queryTableFieldId="6" dataDxfId="15"/>
    <tableColumn id="7" xr3:uid="{F74E3C4C-6352-410F-9B58-87B90BF4A95F}"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769207-6013-4337-A5F7-4972DDFA1A0B}" name="Orders" displayName="Orders" ref="A1:Q1001" tableType="queryTable" totalsRowShown="0">
  <autoFilter ref="A1:Q1001" xr:uid="{4F769207-6013-4337-A5F7-4972DDFA1A0B}"/>
  <tableColumns count="17">
    <tableColumn id="1" xr3:uid="{5DE3D841-3D04-43AC-909B-51016BFAE955}" uniqueName="1" name="Order_ID" queryTableFieldId="1"/>
    <tableColumn id="2" xr3:uid="{383930E0-269D-4814-8C67-85D1EFBBCD4A}" uniqueName="2" name="Customer_ID" queryTableFieldId="2" dataDxfId="13"/>
    <tableColumn id="3" xr3:uid="{B8166CEC-D8BA-4AA1-AFB4-757349B30787}" uniqueName="3" name="Product_ID" queryTableFieldId="3"/>
    <tableColumn id="4" xr3:uid="{3CF38E5F-E601-44A4-BD4C-2630CE841EDC}" uniqueName="4" name="Quantity" queryTableFieldId="4"/>
    <tableColumn id="5" xr3:uid="{3821E60A-333E-4F13-B3DF-0EB9A147A675}" uniqueName="5" name="Order_Date" queryTableFieldId="5" dataDxfId="3"/>
    <tableColumn id="6" xr3:uid="{5E01C4F5-50B6-4480-A560-5267D8783242}" uniqueName="6" name="Order_Time" queryTableFieldId="6" dataDxfId="2"/>
    <tableColumn id="7" xr3:uid="{F3F9C40B-7CC7-47BD-AC46-46FC0D25749C}" uniqueName="7" name="Delivery_Date" queryTableFieldId="7" dataDxfId="1"/>
    <tableColumn id="8" xr3:uid="{5C91EE4F-0218-4A01-B2A6-A8BFC631602D}" uniqueName="8" name="Delivery_Time" queryTableFieldId="8" dataDxfId="0"/>
    <tableColumn id="9" xr3:uid="{CC1BD037-BCB2-4B2E-908D-20BF71C82EA6}" uniqueName="9" name="Location" queryTableFieldId="9" dataDxfId="12"/>
    <tableColumn id="10" xr3:uid="{939DEE82-7150-41F9-8C8D-14D2AB00CD33}" uniqueName="10" name="Occasion" queryTableFieldId="10" dataDxfId="11"/>
    <tableColumn id="11" xr3:uid="{BFA662C6-F315-421C-B433-F26EAC5E3825}" uniqueName="11" name="Month Name" queryTableFieldId="11" dataDxfId="10"/>
    <tableColumn id="12" xr3:uid="{B33A2382-13EE-422E-BA94-DCDBB8B21889}" uniqueName="12" name="Hour(order time)" queryTableFieldId="12"/>
    <tableColumn id="13" xr3:uid="{17E90B44-2ACF-446C-95F3-A36F7ACE281B}" uniqueName="13" name="diff_order_delivery" queryTableFieldId="13"/>
    <tableColumn id="14" xr3:uid="{8E4E7D8B-7539-4A67-9777-4CF6887EF374}" uniqueName="14" name="Hour(delivery time)" queryTableFieldId="14"/>
    <tableColumn id="15" xr3:uid="{C9987627-9405-426A-86A2-2141D1C18471}" uniqueName="15" name="Price (INR)" queryTableFieldId="15"/>
    <tableColumn id="16" xr3:uid="{4B3846F6-BEE8-4579-9FB7-785213C4B403}" uniqueName="16" name="Revenue" queryTableFieldId="16"/>
    <tableColumn id="17" xr3:uid="{281372D9-8B90-47D4-926B-6FC8C64F1B0D}" uniqueName="17" name="Day name(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E83055-88DB-459D-B72C-1581BD4E952E}" name="Products" displayName="Products" ref="A1:E71" tableType="queryTable" totalsRowShown="0">
  <autoFilter ref="A1:E71" xr:uid="{A4E83055-88DB-459D-B72C-1581BD4E952E}"/>
  <tableColumns count="5">
    <tableColumn id="1" xr3:uid="{8E9FDBC6-9CCF-4193-852F-BC034807C33F}" uniqueName="1" name="Product_ID" queryTableFieldId="1"/>
    <tableColumn id="2" xr3:uid="{8378ABD2-3EEE-404A-A0E5-00EED8E2A9E4}" uniqueName="2" name="Product_Name" queryTableFieldId="2" dataDxfId="9"/>
    <tableColumn id="3" xr3:uid="{D56000E7-5EF4-413D-B88A-56169F81BD69}" uniqueName="3" name="Category" queryTableFieldId="3" dataDxfId="8"/>
    <tableColumn id="4" xr3:uid="{D6469161-C8C6-4D3A-80B5-4DB3C52CF8B7}" uniqueName="4" name="Price (INR)" queryTableFieldId="4"/>
    <tableColumn id="5" xr3:uid="{E0155B4B-181D-4838-923E-4CA26AD88B7E}"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E36640B-4F56-4C35-94A6-3A2C85AB21F0}" sourceName="[Orders].[Order_Date]">
  <pivotTables>
    <pivotTable tabId="1" name="PivotTable5"/>
    <pivotTable tabId="1" name="PivotTable1"/>
    <pivotTable tabId="1" name="PivotTable2"/>
    <pivotTable tabId="1" name="PivotTable3"/>
    <pivotTable tabId="1" name="PivotTable7"/>
    <pivotTable tabId="1" name="PivotTable8"/>
    <pivotTable tabId="1" name="PivotTable9"/>
  </pivotTables>
  <state minimalRefreshVersion="6" lastRefreshVersion="6" pivotCacheId="82677150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5612CEB-D107-4335-AAC0-52FE5B1D9CD9}" sourceName="[Orders].[Delivery_Date]">
  <pivotTables>
    <pivotTable tabId="1" name="PivotTable5"/>
    <pivotTable tabId="1" name="PivotTable1"/>
    <pivotTable tabId="1" name="PivotTable2"/>
    <pivotTable tabId="1" name="PivotTable3"/>
    <pivotTable tabId="1" name="PivotTable7"/>
    <pivotTable tabId="1" name="PivotTable8"/>
    <pivotTable tabId="1" name="PivotTable9"/>
  </pivotTables>
  <state minimalRefreshVersion="6" lastRefreshVersion="6" pivotCacheId="826771500"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991FD87-8CF6-4542-9BEF-3C174C4622A9}" cache="Timeline_Order_Date" caption="Order_Date" level="2" selectionLevel="2" scrollPosition="2023-01-01T00:00:00"/>
  <timeline name="Delivery_Date" xr10:uid="{D3D3411E-634C-499F-8812-2267047558CA}" cache="Timeline_Delivery_Date" caption="Delivery_Dat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43D13-F92E-49D4-8786-C8C8680312F5}">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3.88671875" bestFit="1" customWidth="1"/>
    <col min="6" max="6" width="34.33203125" bestFit="1" customWidth="1"/>
  </cols>
  <sheetData>
    <row r="1" spans="1:6" x14ac:dyDescent="0.3">
      <c r="A1" t="s">
        <v>0</v>
      </c>
      <c r="B1" t="s">
        <v>1</v>
      </c>
      <c r="C1" t="s">
        <v>2</v>
      </c>
      <c r="D1" t="s">
        <v>3</v>
      </c>
      <c r="E1" t="s">
        <v>4</v>
      </c>
      <c r="F1" t="s">
        <v>5</v>
      </c>
    </row>
    <row r="2" spans="1:6" x14ac:dyDescent="0.3">
      <c r="A2" t="s">
        <v>6</v>
      </c>
      <c r="B2" t="s">
        <v>7</v>
      </c>
      <c r="C2" s="1">
        <v>45880.066863618827</v>
      </c>
      <c r="D2" s="1">
        <v>45880.019632793206</v>
      </c>
      <c r="E2" s="1">
        <v>45880.019631712959</v>
      </c>
      <c r="F2" t="s">
        <v>8</v>
      </c>
    </row>
    <row r="3" spans="1:6" x14ac:dyDescent="0.3">
      <c r="A3" t="s">
        <v>9</v>
      </c>
      <c r="B3" t="s">
        <v>7</v>
      </c>
      <c r="C3" s="1">
        <v>45880.027096682097</v>
      </c>
      <c r="D3" s="1">
        <v>45880.027096682097</v>
      </c>
      <c r="E3" s="1">
        <v>45880.019698765434</v>
      </c>
      <c r="F3" t="s">
        <v>8</v>
      </c>
    </row>
    <row r="4" spans="1:6" x14ac:dyDescent="0.3">
      <c r="A4" t="s">
        <v>10</v>
      </c>
      <c r="B4" t="s">
        <v>7</v>
      </c>
      <c r="C4" s="1">
        <v>45880.066866859568</v>
      </c>
      <c r="D4" s="1">
        <v>45880.020706635805</v>
      </c>
      <c r="E4" s="1">
        <v>45880.019751118831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A2A89-9F41-4B87-9433-8CA969D84146}">
  <dimension ref="A1:G101"/>
  <sheetViews>
    <sheetView workbookViewId="0">
      <selection activeCell="D22" sqref="D22"/>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7429-5813-4B15-9A63-C94E240FA71A}">
  <dimension ref="A1:Q1001"/>
  <sheetViews>
    <sheetView topLeftCell="C1" workbookViewId="0">
      <selection activeCell="Q21" sqref="Q2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19.5546875" bestFit="1" customWidth="1"/>
    <col min="14" max="14" width="19.77734375" bestFit="1" customWidth="1"/>
    <col min="15" max="15" width="12.109375" bestFit="1" customWidth="1"/>
    <col min="16" max="16" width="10.5546875" bestFit="1" customWidth="1"/>
    <col min="17" max="17" width="22"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DE4B6-4E21-4E96-8A42-7CA310E8F6B2}">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902A2-F9D8-47B7-90D9-94902A9CC165}">
  <dimension ref="A1:H57"/>
  <sheetViews>
    <sheetView tabSelected="1" topLeftCell="A14" workbookViewId="0">
      <selection activeCell="G21" sqref="G21"/>
    </sheetView>
  </sheetViews>
  <sheetFormatPr defaultRowHeight="14.4" x14ac:dyDescent="0.3"/>
  <cols>
    <col min="1" max="1" width="14.44140625" bestFit="1" customWidth="1"/>
    <col min="2" max="3" width="14.88671875" bestFit="1" customWidth="1"/>
    <col min="4" max="4" width="13.6640625" bestFit="1" customWidth="1"/>
    <col min="5" max="5" width="16.44140625" bestFit="1" customWidth="1"/>
    <col min="6" max="6" width="27" bestFit="1" customWidth="1"/>
    <col min="7" max="7" width="14.44140625" bestFit="1" customWidth="1"/>
    <col min="8" max="8" width="14.88671875" bestFit="1" customWidth="1"/>
    <col min="9" max="9" width="12.44140625" bestFit="1" customWidth="1"/>
    <col min="10" max="12" width="11.109375" bestFit="1" customWidth="1"/>
    <col min="13" max="13" width="15.109375" bestFit="1" customWidth="1"/>
    <col min="14" max="14" width="14" bestFit="1" customWidth="1"/>
    <col min="15" max="15" width="12.6640625" bestFit="1" customWidth="1"/>
    <col min="16" max="89" width="25.6640625" bestFit="1" customWidth="1"/>
    <col min="90" max="90" width="10.77734375" bestFit="1" customWidth="1"/>
    <col min="91" max="653" width="27.109375" bestFit="1" customWidth="1"/>
    <col min="654" max="654" width="19.6640625" bestFit="1" customWidth="1"/>
    <col min="655" max="655" width="31.88671875" bestFit="1" customWidth="1"/>
  </cols>
  <sheetData>
    <row r="1" spans="1:8" x14ac:dyDescent="0.3">
      <c r="A1" s="4" t="s">
        <v>932</v>
      </c>
      <c r="B1" t="s">
        <v>943</v>
      </c>
      <c r="D1" t="s">
        <v>944</v>
      </c>
      <c r="E1" t="s">
        <v>943</v>
      </c>
      <c r="F1" t="s">
        <v>945</v>
      </c>
      <c r="G1" t="s">
        <v>946</v>
      </c>
      <c r="H1" t="s">
        <v>947</v>
      </c>
    </row>
    <row r="2" spans="1:8" x14ac:dyDescent="0.3">
      <c r="A2" s="5" t="s">
        <v>842</v>
      </c>
      <c r="B2" s="6">
        <v>95468</v>
      </c>
      <c r="D2" s="7">
        <v>5.53</v>
      </c>
      <c r="E2" s="6">
        <v>3520984</v>
      </c>
      <c r="F2" s="6">
        <v>3520.9839999999999</v>
      </c>
      <c r="G2" s="7">
        <v>1000</v>
      </c>
      <c r="H2" s="6">
        <v>3520984</v>
      </c>
    </row>
    <row r="3" spans="1:8" x14ac:dyDescent="0.3">
      <c r="A3" s="5" t="s">
        <v>621</v>
      </c>
      <c r="B3" s="6">
        <v>704509</v>
      </c>
    </row>
    <row r="4" spans="1:8" x14ac:dyDescent="0.3">
      <c r="A4" s="5" t="s">
        <v>747</v>
      </c>
      <c r="B4" s="6">
        <v>511823</v>
      </c>
    </row>
    <row r="5" spans="1:8" x14ac:dyDescent="0.3">
      <c r="A5" s="5" t="s">
        <v>837</v>
      </c>
      <c r="B5" s="6">
        <v>140393</v>
      </c>
      <c r="D5" s="4" t="s">
        <v>932</v>
      </c>
      <c r="E5" t="s">
        <v>943</v>
      </c>
      <c r="G5">
        <f>CORREL(Orders[Quantity],Orders[diff_order_delivery])</f>
        <v>3.4781737193018245E-3</v>
      </c>
    </row>
    <row r="6" spans="1:8" x14ac:dyDescent="0.3">
      <c r="A6" s="5" t="s">
        <v>840</v>
      </c>
      <c r="B6" s="6">
        <v>150346</v>
      </c>
      <c r="D6" s="5" t="s">
        <v>877</v>
      </c>
      <c r="E6" s="6">
        <v>97665</v>
      </c>
    </row>
    <row r="7" spans="1:8" x14ac:dyDescent="0.3">
      <c r="A7" s="5" t="s">
        <v>841</v>
      </c>
      <c r="B7" s="6">
        <v>157913</v>
      </c>
      <c r="D7" s="5" t="s">
        <v>918</v>
      </c>
      <c r="E7" s="6">
        <v>106624</v>
      </c>
    </row>
    <row r="8" spans="1:8" x14ac:dyDescent="0.3">
      <c r="A8" s="5" t="s">
        <v>839</v>
      </c>
      <c r="B8" s="6">
        <v>135826</v>
      </c>
      <c r="D8" s="5" t="s">
        <v>910</v>
      </c>
      <c r="E8" s="6">
        <v>101556</v>
      </c>
    </row>
    <row r="9" spans="1:8" x14ac:dyDescent="0.3">
      <c r="A9" s="5" t="s">
        <v>795</v>
      </c>
      <c r="B9" s="6">
        <v>737389</v>
      </c>
      <c r="D9" s="5" t="s">
        <v>858</v>
      </c>
      <c r="E9" s="6">
        <v>121905</v>
      </c>
    </row>
    <row r="10" spans="1:8" x14ac:dyDescent="0.3">
      <c r="A10" s="5" t="s">
        <v>843</v>
      </c>
      <c r="B10" s="6">
        <v>136938</v>
      </c>
      <c r="D10" s="5" t="s">
        <v>884</v>
      </c>
      <c r="E10" s="6">
        <v>114476</v>
      </c>
    </row>
    <row r="11" spans="1:8" x14ac:dyDescent="0.3">
      <c r="A11" s="5" t="s">
        <v>845</v>
      </c>
      <c r="B11" s="6">
        <v>151619</v>
      </c>
      <c r="D11" s="5" t="s">
        <v>933</v>
      </c>
      <c r="E11" s="6">
        <v>542226</v>
      </c>
    </row>
    <row r="12" spans="1:8" x14ac:dyDescent="0.3">
      <c r="A12" s="5" t="s">
        <v>822</v>
      </c>
      <c r="B12" s="6">
        <v>449169</v>
      </c>
    </row>
    <row r="13" spans="1:8" x14ac:dyDescent="0.3">
      <c r="A13" s="5" t="s">
        <v>836</v>
      </c>
      <c r="B13" s="6">
        <v>149591</v>
      </c>
    </row>
    <row r="14" spans="1:8" x14ac:dyDescent="0.3">
      <c r="A14" s="5" t="s">
        <v>933</v>
      </c>
      <c r="B14" s="6">
        <v>3520984</v>
      </c>
    </row>
    <row r="19" spans="1:8" x14ac:dyDescent="0.3">
      <c r="A19" s="4" t="s">
        <v>932</v>
      </c>
      <c r="B19" t="s">
        <v>943</v>
      </c>
      <c r="D19" s="4" t="s">
        <v>932</v>
      </c>
      <c r="E19" t="s">
        <v>946</v>
      </c>
      <c r="G19" s="4" t="s">
        <v>932</v>
      </c>
      <c r="H19" t="s">
        <v>943</v>
      </c>
    </row>
    <row r="20" spans="1:8" x14ac:dyDescent="0.3">
      <c r="A20" s="5" t="s">
        <v>868</v>
      </c>
      <c r="B20" s="6">
        <v>329862</v>
      </c>
      <c r="D20" s="5" t="s">
        <v>218</v>
      </c>
      <c r="E20" s="7">
        <v>18</v>
      </c>
      <c r="G20" s="5" t="s">
        <v>699</v>
      </c>
      <c r="H20" s="6">
        <v>586176</v>
      </c>
    </row>
    <row r="21" spans="1:8" x14ac:dyDescent="0.3">
      <c r="A21" s="5" t="s">
        <v>863</v>
      </c>
      <c r="B21" s="6">
        <v>1005645</v>
      </c>
      <c r="D21" s="5" t="s">
        <v>152</v>
      </c>
      <c r="E21" s="7">
        <v>21</v>
      </c>
      <c r="G21" s="5" t="s">
        <v>698</v>
      </c>
      <c r="H21" s="6">
        <v>674634</v>
      </c>
    </row>
    <row r="22" spans="1:8" x14ac:dyDescent="0.3">
      <c r="A22" s="5" t="s">
        <v>874</v>
      </c>
      <c r="B22" s="6">
        <v>201151</v>
      </c>
      <c r="D22" s="5" t="s">
        <v>32</v>
      </c>
      <c r="E22" s="7">
        <v>18</v>
      </c>
      <c r="G22" s="5" t="s">
        <v>707</v>
      </c>
      <c r="H22" s="6">
        <v>408194</v>
      </c>
    </row>
    <row r="23" spans="1:8" x14ac:dyDescent="0.3">
      <c r="A23" s="5" t="s">
        <v>861</v>
      </c>
      <c r="B23" s="6">
        <v>212281</v>
      </c>
      <c r="D23" s="5" t="s">
        <v>324</v>
      </c>
      <c r="E23" s="7">
        <v>28</v>
      </c>
      <c r="G23" s="5" t="s">
        <v>829</v>
      </c>
      <c r="H23" s="6">
        <v>313783</v>
      </c>
    </row>
    <row r="24" spans="1:8" x14ac:dyDescent="0.3">
      <c r="A24" s="5" t="s">
        <v>794</v>
      </c>
      <c r="B24" s="6">
        <v>297372</v>
      </c>
      <c r="D24" s="5" t="s">
        <v>230</v>
      </c>
      <c r="E24" s="7">
        <v>21</v>
      </c>
      <c r="G24" s="5" t="s">
        <v>701</v>
      </c>
      <c r="H24" s="6">
        <v>574682</v>
      </c>
    </row>
    <row r="25" spans="1:8" x14ac:dyDescent="0.3">
      <c r="A25" s="5" t="s">
        <v>859</v>
      </c>
      <c r="B25" s="6">
        <v>740831</v>
      </c>
      <c r="D25" s="5" t="s">
        <v>301</v>
      </c>
      <c r="E25" s="7">
        <v>20</v>
      </c>
      <c r="G25" s="5" t="s">
        <v>794</v>
      </c>
      <c r="H25" s="6">
        <v>631585</v>
      </c>
    </row>
    <row r="26" spans="1:8" x14ac:dyDescent="0.3">
      <c r="A26" s="5" t="s">
        <v>865</v>
      </c>
      <c r="B26" s="6">
        <v>733842</v>
      </c>
      <c r="D26" s="5" t="s">
        <v>188</v>
      </c>
      <c r="E26" s="7">
        <v>24</v>
      </c>
      <c r="G26" s="5" t="s">
        <v>620</v>
      </c>
      <c r="H26" s="6">
        <v>331930</v>
      </c>
    </row>
    <row r="27" spans="1:8" x14ac:dyDescent="0.3">
      <c r="A27" s="5" t="s">
        <v>933</v>
      </c>
      <c r="B27" s="6">
        <v>3520984</v>
      </c>
      <c r="D27" s="5" t="s">
        <v>307</v>
      </c>
      <c r="E27" s="7">
        <v>29</v>
      </c>
      <c r="G27" s="5" t="s">
        <v>933</v>
      </c>
      <c r="H27" s="6">
        <v>3520984</v>
      </c>
    </row>
    <row r="28" spans="1:8" x14ac:dyDescent="0.3">
      <c r="D28" s="5" t="s">
        <v>158</v>
      </c>
      <c r="E28" s="7">
        <v>27</v>
      </c>
    </row>
    <row r="29" spans="1:8" x14ac:dyDescent="0.3">
      <c r="D29" s="5" t="s">
        <v>397</v>
      </c>
      <c r="E29" s="7">
        <v>19</v>
      </c>
    </row>
    <row r="30" spans="1:8" x14ac:dyDescent="0.3">
      <c r="D30" s="5" t="s">
        <v>933</v>
      </c>
      <c r="E30" s="7">
        <v>225</v>
      </c>
    </row>
    <row r="32" spans="1:8" x14ac:dyDescent="0.3">
      <c r="A32" s="4" t="s">
        <v>932</v>
      </c>
      <c r="B32" t="s">
        <v>943</v>
      </c>
    </row>
    <row r="33" spans="1:2" x14ac:dyDescent="0.3">
      <c r="A33" s="5">
        <v>0</v>
      </c>
      <c r="B33" s="6">
        <v>99400</v>
      </c>
    </row>
    <row r="34" spans="1:2" x14ac:dyDescent="0.3">
      <c r="A34" s="5">
        <v>1</v>
      </c>
      <c r="B34" s="6">
        <v>129309</v>
      </c>
    </row>
    <row r="35" spans="1:2" x14ac:dyDescent="0.3">
      <c r="A35" s="5">
        <v>2</v>
      </c>
      <c r="B35" s="6">
        <v>152940</v>
      </c>
    </row>
    <row r="36" spans="1:2" x14ac:dyDescent="0.3">
      <c r="A36" s="5">
        <v>3</v>
      </c>
      <c r="B36" s="6">
        <v>146810</v>
      </c>
    </row>
    <row r="37" spans="1:2" x14ac:dyDescent="0.3">
      <c r="A37" s="5">
        <v>4</v>
      </c>
      <c r="B37" s="6">
        <v>114700</v>
      </c>
    </row>
    <row r="38" spans="1:2" x14ac:dyDescent="0.3">
      <c r="A38" s="5">
        <v>5</v>
      </c>
      <c r="B38" s="6">
        <v>156198</v>
      </c>
    </row>
    <row r="39" spans="1:2" x14ac:dyDescent="0.3">
      <c r="A39" s="5">
        <v>6</v>
      </c>
      <c r="B39" s="6">
        <v>177211</v>
      </c>
    </row>
    <row r="40" spans="1:2" x14ac:dyDescent="0.3">
      <c r="A40" s="5">
        <v>7</v>
      </c>
      <c r="B40" s="6">
        <v>147749</v>
      </c>
    </row>
    <row r="41" spans="1:2" x14ac:dyDescent="0.3">
      <c r="A41" s="5">
        <v>8</v>
      </c>
      <c r="B41" s="6">
        <v>133617</v>
      </c>
    </row>
    <row r="42" spans="1:2" x14ac:dyDescent="0.3">
      <c r="A42" s="5">
        <v>9</v>
      </c>
      <c r="B42" s="6">
        <v>153678</v>
      </c>
    </row>
    <row r="43" spans="1:2" x14ac:dyDescent="0.3">
      <c r="A43" s="5">
        <v>10</v>
      </c>
      <c r="B43" s="6">
        <v>94985</v>
      </c>
    </row>
    <row r="44" spans="1:2" x14ac:dyDescent="0.3">
      <c r="A44" s="5">
        <v>11</v>
      </c>
      <c r="B44" s="6">
        <v>130287</v>
      </c>
    </row>
    <row r="45" spans="1:2" x14ac:dyDescent="0.3">
      <c r="A45" s="5">
        <v>12</v>
      </c>
      <c r="B45" s="6">
        <v>162394</v>
      </c>
    </row>
    <row r="46" spans="1:2" x14ac:dyDescent="0.3">
      <c r="A46" s="5">
        <v>13</v>
      </c>
      <c r="B46" s="6">
        <v>152340</v>
      </c>
    </row>
    <row r="47" spans="1:2" x14ac:dyDescent="0.3">
      <c r="A47" s="5">
        <v>14</v>
      </c>
      <c r="B47" s="6">
        <v>126406</v>
      </c>
    </row>
    <row r="48" spans="1:2" x14ac:dyDescent="0.3">
      <c r="A48" s="5">
        <v>15</v>
      </c>
      <c r="B48" s="6">
        <v>163586</v>
      </c>
    </row>
    <row r="49" spans="1:2" x14ac:dyDescent="0.3">
      <c r="A49" s="5">
        <v>16</v>
      </c>
      <c r="B49" s="6">
        <v>128797</v>
      </c>
    </row>
    <row r="50" spans="1:2" x14ac:dyDescent="0.3">
      <c r="A50" s="5">
        <v>17</v>
      </c>
      <c r="B50" s="6">
        <v>155373</v>
      </c>
    </row>
    <row r="51" spans="1:2" x14ac:dyDescent="0.3">
      <c r="A51" s="5">
        <v>18</v>
      </c>
      <c r="B51" s="6">
        <v>173118</v>
      </c>
    </row>
    <row r="52" spans="1:2" x14ac:dyDescent="0.3">
      <c r="A52" s="5">
        <v>19</v>
      </c>
      <c r="B52" s="6">
        <v>185771</v>
      </c>
    </row>
    <row r="53" spans="1:2" x14ac:dyDescent="0.3">
      <c r="A53" s="5">
        <v>20</v>
      </c>
      <c r="B53" s="6">
        <v>186426</v>
      </c>
    </row>
    <row r="54" spans="1:2" x14ac:dyDescent="0.3">
      <c r="A54" s="5">
        <v>21</v>
      </c>
      <c r="B54" s="6">
        <v>155466</v>
      </c>
    </row>
    <row r="55" spans="1:2" x14ac:dyDescent="0.3">
      <c r="A55" s="5">
        <v>22</v>
      </c>
      <c r="B55" s="6">
        <v>125912</v>
      </c>
    </row>
    <row r="56" spans="1:2" x14ac:dyDescent="0.3">
      <c r="A56" s="5">
        <v>23</v>
      </c>
      <c r="B56" s="6">
        <v>168511</v>
      </c>
    </row>
    <row r="57" spans="1:2" x14ac:dyDescent="0.3">
      <c r="A57" s="5" t="s">
        <v>933</v>
      </c>
      <c r="B57"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44CC5-6912-4FC4-8906-8F8B57D4EA90}">
  <dimension ref="A1"/>
  <sheetViews>
    <sheetView zoomScale="70" workbookViewId="0">
      <selection activeCell="AB20" sqref="AB20"/>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840209BB-11A5-4CE1-BCEE-46ED12395FC7}">
  <ds:schemaRefs>
    <ds:schemaRef ds:uri="http://schemas.microsoft.com/DataMashup"/>
  </ds:schemaRefs>
</ds:datastoreItem>
</file>

<file path=customXml/itemProps2.xml><?xml version="1.0" encoding="utf-8"?>
<ds:datastoreItem xmlns:ds="http://schemas.openxmlformats.org/officeDocument/2006/customXml" ds:itemID="{149B59BA-3C57-43B2-A5D0-3BD5D8291E95}">
  <ds:schemaRefs/>
</ds:datastoreItem>
</file>

<file path=customXml/itemProps3.xml><?xml version="1.0" encoding="utf-8"?>
<ds:datastoreItem xmlns:ds="http://schemas.openxmlformats.org/officeDocument/2006/customXml" ds:itemID="{6DE0F351-EAA7-4493-84AD-30C49CC8A981}">
  <ds:schemaRefs/>
</ds:datastoreItem>
</file>

<file path=customXml/itemProps4.xml><?xml version="1.0" encoding="utf-8"?>
<ds:datastoreItem xmlns:ds="http://schemas.openxmlformats.org/officeDocument/2006/customXml" ds:itemID="{4D63327B-88B5-4511-959C-97CDA84FB210}">
  <ds:schemaRefs/>
</ds:datastoreItem>
</file>

<file path=customXml/itemProps5.xml><?xml version="1.0" encoding="utf-8"?>
<ds:datastoreItem xmlns:ds="http://schemas.openxmlformats.org/officeDocument/2006/customXml" ds:itemID="{F76750B5-B0C8-47FC-BE84-0E0DDEF6CD97}">
  <ds:schemaRefs/>
</ds:datastoreItem>
</file>

<file path=customXml/itemProps6.xml><?xml version="1.0" encoding="utf-8"?>
<ds:datastoreItem xmlns:ds="http://schemas.openxmlformats.org/officeDocument/2006/customXml" ds:itemID="{BEF65D18-431D-4DBE-A597-0B7731A9AED4}">
  <ds:schemaRefs/>
</ds:datastoreItem>
</file>

<file path=customXml/itemProps7.xml><?xml version="1.0" encoding="utf-8"?>
<ds:datastoreItem xmlns:ds="http://schemas.openxmlformats.org/officeDocument/2006/customXml" ds:itemID="{2D50CD06-9B1D-4B28-AEB5-308BCD87A540}">
  <ds:schemaRefs/>
</ds:datastoreItem>
</file>

<file path=customXml/itemProps8.xml><?xml version="1.0" encoding="utf-8"?>
<ds:datastoreItem xmlns:ds="http://schemas.openxmlformats.org/officeDocument/2006/customXml" ds:itemID="{167F3D19-91CA-4AD1-8742-A6B4C9724152}">
  <ds:schemaRefs/>
</ds:datastoreItem>
</file>

<file path=customXml/itemProps9.xml><?xml version="1.0" encoding="utf-8"?>
<ds:datastoreItem xmlns:ds="http://schemas.openxmlformats.org/officeDocument/2006/customXml" ds:itemID="{9C292996-5AE0-4D71-A239-F62F98F908E6}">
  <ds:schemaRefs/>
</ds:datastoreItem>
</file>

<file path=customXml/itemProps10.xml><?xml version="1.0" encoding="utf-8"?>
<ds:datastoreItem xmlns:ds="http://schemas.openxmlformats.org/officeDocument/2006/customXml" ds:itemID="{8AB52201-BC2D-48CF-9B7F-0D5E078F080C}">
  <ds:schemaRefs/>
</ds:datastoreItem>
</file>

<file path=customXml/itemProps11.xml><?xml version="1.0" encoding="utf-8"?>
<ds:datastoreItem xmlns:ds="http://schemas.openxmlformats.org/officeDocument/2006/customXml" ds:itemID="{EDB40C54-E498-41ED-8744-6B2E55F9BEE5}">
  <ds:schemaRefs/>
</ds:datastoreItem>
</file>

<file path=customXml/itemProps12.xml><?xml version="1.0" encoding="utf-8"?>
<ds:datastoreItem xmlns:ds="http://schemas.openxmlformats.org/officeDocument/2006/customXml" ds:itemID="{54B9BEF8-4D71-44AE-A922-A8B73471B97D}">
  <ds:schemaRefs/>
</ds:datastoreItem>
</file>

<file path=customXml/itemProps13.xml><?xml version="1.0" encoding="utf-8"?>
<ds:datastoreItem xmlns:ds="http://schemas.openxmlformats.org/officeDocument/2006/customXml" ds:itemID="{1C37E67F-763E-4C36-B1BA-7CEB080F6287}">
  <ds:schemaRefs/>
</ds:datastoreItem>
</file>

<file path=customXml/itemProps14.xml><?xml version="1.0" encoding="utf-8"?>
<ds:datastoreItem xmlns:ds="http://schemas.openxmlformats.org/officeDocument/2006/customXml" ds:itemID="{8DC4CF0B-2E02-4950-ACF4-0221F75AA41D}">
  <ds:schemaRefs/>
</ds:datastoreItem>
</file>

<file path=customXml/itemProps15.xml><?xml version="1.0" encoding="utf-8"?>
<ds:datastoreItem xmlns:ds="http://schemas.openxmlformats.org/officeDocument/2006/customXml" ds:itemID="{FDAA13BD-0D4C-487E-ACBD-CD13DC61B1E8}">
  <ds:schemaRefs/>
</ds:datastoreItem>
</file>

<file path=customXml/itemProps16.xml><?xml version="1.0" encoding="utf-8"?>
<ds:datastoreItem xmlns:ds="http://schemas.openxmlformats.org/officeDocument/2006/customXml" ds:itemID="{0A9F8E03-0466-4794-9576-3934C1D94E92}">
  <ds:schemaRefs/>
</ds:datastoreItem>
</file>

<file path=customXml/itemProps17.xml><?xml version="1.0" encoding="utf-8"?>
<ds:datastoreItem xmlns:ds="http://schemas.openxmlformats.org/officeDocument/2006/customXml" ds:itemID="{E8A51D5C-4976-4BDF-9EA4-E3F6F63F089C}">
  <ds:schemaRefs/>
</ds:datastoreItem>
</file>

<file path=customXml/itemProps18.xml><?xml version="1.0" encoding="utf-8"?>
<ds:datastoreItem xmlns:ds="http://schemas.openxmlformats.org/officeDocument/2006/customXml" ds:itemID="{63809780-CC8E-428F-B40C-0B5F89ECEBDF}">
  <ds:schemaRefs/>
</ds:datastoreItem>
</file>

<file path=customXml/itemProps19.xml><?xml version="1.0" encoding="utf-8"?>
<ds:datastoreItem xmlns:ds="http://schemas.openxmlformats.org/officeDocument/2006/customXml" ds:itemID="{5439120C-E65D-4E03-929B-E77DAF662F15}">
  <ds:schemaRefs/>
</ds:datastoreItem>
</file>

<file path=customXml/itemProps20.xml><?xml version="1.0" encoding="utf-8"?>
<ds:datastoreItem xmlns:ds="http://schemas.openxmlformats.org/officeDocument/2006/customXml" ds:itemID="{ABD64B78-FEA9-49B5-A37D-CE55C3F843FD}">
  <ds:schemaRefs/>
</ds:datastoreItem>
</file>

<file path=customXml/itemProps21.xml><?xml version="1.0" encoding="utf-8"?>
<ds:datastoreItem xmlns:ds="http://schemas.openxmlformats.org/officeDocument/2006/customXml" ds:itemID="{75CCD340-F48A-4762-BCF1-BC259F1B22AD}">
  <ds:schemaRefs/>
</ds:datastoreItem>
</file>

<file path=customXml/itemProps22.xml><?xml version="1.0" encoding="utf-8"?>
<ds:datastoreItem xmlns:ds="http://schemas.openxmlformats.org/officeDocument/2006/customXml" ds:itemID="{91CED14C-5CAD-4707-B23A-C24FEC6FE1F1}">
  <ds:schemaRefs/>
</ds:datastoreItem>
</file>

<file path=customXml/itemProps23.xml><?xml version="1.0" encoding="utf-8"?>
<ds:datastoreItem xmlns:ds="http://schemas.openxmlformats.org/officeDocument/2006/customXml" ds:itemID="{CDA1C2E3-284B-41FA-9D3D-12B5AA5BCA68}">
  <ds:schemaRefs/>
</ds:datastoreItem>
</file>

<file path=customXml/itemProps24.xml><?xml version="1.0" encoding="utf-8"?>
<ds:datastoreItem xmlns:ds="http://schemas.openxmlformats.org/officeDocument/2006/customXml" ds:itemID="{51E9CBD2-50B8-4485-939A-95DEFC081DA6}">
  <ds:schemaRefs/>
</ds:datastoreItem>
</file>

<file path=customXml/itemProps25.xml><?xml version="1.0" encoding="utf-8"?>
<ds:datastoreItem xmlns:ds="http://schemas.openxmlformats.org/officeDocument/2006/customXml" ds:itemID="{C6699F14-84A5-4868-A22D-673DDF7C1F15}">
  <ds:schemaRefs/>
</ds:datastoreItem>
</file>

<file path=customXml/itemProps26.xml><?xml version="1.0" encoding="utf-8"?>
<ds:datastoreItem xmlns:ds="http://schemas.openxmlformats.org/officeDocument/2006/customXml" ds:itemID="{C464FF7C-DCCA-4D41-BED0-A7650AB9CE44}">
  <ds:schemaRefs/>
</ds:datastoreItem>
</file>

<file path=customXml/itemProps27.xml><?xml version="1.0" encoding="utf-8"?>
<ds:datastoreItem xmlns:ds="http://schemas.openxmlformats.org/officeDocument/2006/customXml" ds:itemID="{9CAC6B3B-4D58-4D1D-8D30-CBFD59F6474E}">
  <ds:schemaRefs/>
</ds:datastoreItem>
</file>

<file path=customXml/itemProps28.xml><?xml version="1.0" encoding="utf-8"?>
<ds:datastoreItem xmlns:ds="http://schemas.openxmlformats.org/officeDocument/2006/customXml" ds:itemID="{5AD1460D-FFF6-4DEA-89B4-2F2816E6F1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New folder (2)</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J</dc:creator>
  <cp:lastModifiedBy>Fatemeh J</cp:lastModifiedBy>
  <dcterms:created xsi:type="dcterms:W3CDTF">2025-08-10T21:12:41Z</dcterms:created>
  <dcterms:modified xsi:type="dcterms:W3CDTF">2025-08-11T00:19:47Z</dcterms:modified>
</cp:coreProperties>
</file>